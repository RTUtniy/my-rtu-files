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āzes modelis" sheetId="1" state="visible" r:id="rId2"/>
    <sheet name="Uzlabotais modeli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<sst xmlns="http://schemas.openxmlformats.org/spreadsheetml/2006/main" count="310" uniqueCount="161">
  <si>
    <t xml:space="preserve">Uzturlīdzeklis</t>
  </si>
  <si>
    <t xml:space="preserve">Galveno vielu daudzums (%)</t>
  </si>
  <si>
    <t xml:space="preserve">100 g produkta enerģiskā vērtība</t>
  </si>
  <si>
    <t xml:space="preserve">Vitamīni (mg %)</t>
  </si>
  <si>
    <t xml:space="preserve">Minerālvielas (mg%)</t>
  </si>
  <si>
    <t xml:space="preserve">Cenas par 1 kg produkta</t>
  </si>
  <si>
    <t xml:space="preserve">Cenas par 100g produkta</t>
  </si>
  <si>
    <t xml:space="preserve">Daudzums</t>
  </si>
  <si>
    <t xml:space="preserve">Cena (eiro/kg)</t>
  </si>
  <si>
    <t xml:space="preserve">Olb.v</t>
  </si>
  <si>
    <t xml:space="preserve">Tauki</t>
  </si>
  <si>
    <t xml:space="preserve">Ogļh.</t>
  </si>
  <si>
    <t xml:space="preserve">kJ</t>
  </si>
  <si>
    <t xml:space="preserve">kcal</t>
  </si>
  <si>
    <t xml:space="preserve">A</t>
  </si>
  <si>
    <r>
      <rPr>
        <b val="true"/>
        <i val="true"/>
        <sz val="11"/>
        <rFont val="Roboto"/>
        <family val="0"/>
        <charset val="1"/>
      </rPr>
      <t xml:space="preserve">B</t>
    </r>
    <r>
      <rPr>
        <b val="true"/>
        <i val="true"/>
        <vertAlign val="subscript"/>
        <sz val="10"/>
        <rFont val="Arial"/>
        <family val="2"/>
        <charset val="1"/>
      </rPr>
      <t xml:space="preserve">1</t>
    </r>
  </si>
  <si>
    <r>
      <rPr>
        <b val="true"/>
        <i val="true"/>
        <sz val="11"/>
        <rFont val="Roboto"/>
        <family val="0"/>
        <charset val="1"/>
      </rPr>
      <t xml:space="preserve">B</t>
    </r>
    <r>
      <rPr>
        <b val="true"/>
        <i val="true"/>
        <vertAlign val="subscript"/>
        <sz val="10"/>
        <rFont val="Arial"/>
        <family val="2"/>
        <charset val="1"/>
      </rPr>
      <t xml:space="preserve">2</t>
    </r>
  </si>
  <si>
    <t xml:space="preserve">PP</t>
  </si>
  <si>
    <t xml:space="preserve">C</t>
  </si>
  <si>
    <t xml:space="preserve">Ca</t>
  </si>
  <si>
    <t xml:space="preserve">P</t>
  </si>
  <si>
    <t xml:space="preserve">Fe</t>
  </si>
  <si>
    <t xml:space="preserve">Auzu putraimi</t>
  </si>
  <si>
    <t xml:space="preserve">Griķu putraimi</t>
  </si>
  <si>
    <t xml:space="preserve">Grūbas</t>
  </si>
  <si>
    <t xml:space="preserve">Kviešu milti</t>
  </si>
  <si>
    <t xml:space="preserve">Labi kviešu milti</t>
  </si>
  <si>
    <t xml:space="preserve">Kviešu maize</t>
  </si>
  <si>
    <t xml:space="preserve">Rudzu maize</t>
  </si>
  <si>
    <t xml:space="preserve">Makaroni</t>
  </si>
  <si>
    <t xml:space="preserve">Mannas putraimi</t>
  </si>
  <si>
    <t xml:space="preserve">Miežu putraimi</t>
  </si>
  <si>
    <t xml:space="preserve">Rīsi</t>
  </si>
  <si>
    <t xml:space="preserve">Rudzu milti</t>
  </si>
  <si>
    <t xml:space="preserve">Zirņi</t>
  </si>
  <si>
    <t xml:space="preserve">Galda bietes</t>
  </si>
  <si>
    <t xml:space="preserve">Burkāni</t>
  </si>
  <si>
    <t xml:space="preserve">Svaigi gurķi</t>
  </si>
  <si>
    <t xml:space="preserve">Skābēti gurķi</t>
  </si>
  <si>
    <t xml:space="preserve">Svaigi kāposti</t>
  </si>
  <si>
    <t xml:space="preserve">Skābēti kāposti</t>
  </si>
  <si>
    <t xml:space="preserve">Ziedkāposti</t>
  </si>
  <si>
    <t xml:space="preserve">Kartupeļi</t>
  </si>
  <si>
    <t xml:space="preserve">Ķirbji</t>
  </si>
  <si>
    <t xml:space="preserve">Loki</t>
  </si>
  <si>
    <t xml:space="preserve">Mārrutki</t>
  </si>
  <si>
    <t xml:space="preserve">Pētersīļi </t>
  </si>
  <si>
    <t xml:space="preserve">Puravi</t>
  </si>
  <si>
    <t xml:space="preserve">Rabarberi</t>
  </si>
  <si>
    <t xml:space="preserve">Redīsi</t>
  </si>
  <si>
    <t xml:space="preserve">Salāti</t>
  </si>
  <si>
    <t xml:space="preserve">Sīpoli</t>
  </si>
  <si>
    <t xml:space="preserve">Skābenes</t>
  </si>
  <si>
    <t xml:space="preserve">Spināti</t>
  </si>
  <si>
    <t xml:space="preserve">Tomāti</t>
  </si>
  <si>
    <t xml:space="preserve">Zaļie zirnīši</t>
  </si>
  <si>
    <t xml:space="preserve">Svaigi āboli</t>
  </si>
  <si>
    <t xml:space="preserve">Žāvēti āboli</t>
  </si>
  <si>
    <t xml:space="preserve">Apelsīni</t>
  </si>
  <si>
    <t xml:space="preserve">Aprikozes</t>
  </si>
  <si>
    <t xml:space="preserve">Žāvētas aprikozes</t>
  </si>
  <si>
    <t xml:space="preserve">Avenes</t>
  </si>
  <si>
    <t xml:space="preserve">Brūklenes</t>
  </si>
  <si>
    <t xml:space="preserve">Bumbieri</t>
  </si>
  <si>
    <t xml:space="preserve">Citroni</t>
  </si>
  <si>
    <t xml:space="preserve">Dzērvenes</t>
  </si>
  <si>
    <t xml:space="preserve">Ērkšķogas</t>
  </si>
  <si>
    <t xml:space="preserve">Baltās jāņogas</t>
  </si>
  <si>
    <t xml:space="preserve">Sarkanās jāņogas</t>
  </si>
  <si>
    <t xml:space="preserve">Ķirši</t>
  </si>
  <si>
    <t xml:space="preserve">Mandarīni</t>
  </si>
  <si>
    <t xml:space="preserve">Mellenes</t>
  </si>
  <si>
    <t xml:space="preserve">Svaigas plūmes</t>
  </si>
  <si>
    <t xml:space="preserve">Žāvētas plūmes</t>
  </si>
  <si>
    <t xml:space="preserve">Upenes</t>
  </si>
  <si>
    <t xml:space="preserve">Svaigas vīnogas</t>
  </si>
  <si>
    <t xml:space="preserve">Dārza zemenes</t>
  </si>
  <si>
    <t xml:space="preserve">Lazdu rieksti</t>
  </si>
  <si>
    <t xml:space="preserve">Saldās mandeles</t>
  </si>
  <si>
    <t xml:space="preserve">Valrieksti</t>
  </si>
  <si>
    <t xml:space="preserve">Zemesrieksti</t>
  </si>
  <si>
    <t xml:space="preserve">Cukurs</t>
  </si>
  <si>
    <t xml:space="preserve">Bišu medus</t>
  </si>
  <si>
    <t xml:space="preserve">Cepumi</t>
  </si>
  <si>
    <t xml:space="preserve">Halva</t>
  </si>
  <si>
    <t xml:space="preserve">Kakao pulveris</t>
  </si>
  <si>
    <t xml:space="preserve">Karameles</t>
  </si>
  <si>
    <t xml:space="preserve">Konfektes ar šokolādi</t>
  </si>
  <si>
    <t xml:space="preserve">Marmelāde</t>
  </si>
  <si>
    <t xml:space="preserve">Šokolāde</t>
  </si>
  <si>
    <t xml:space="preserve">Cūkas speķis</t>
  </si>
  <si>
    <t xml:space="preserve">Cūkas tauki</t>
  </si>
  <si>
    <t xml:space="preserve">Kombinētie tauki</t>
  </si>
  <si>
    <t xml:space="preserve">Liellopu tauki</t>
  </si>
  <si>
    <t xml:space="preserve">Margarīns</t>
  </si>
  <si>
    <t xml:space="preserve">Saulgriežu eļļa</t>
  </si>
  <si>
    <t xml:space="preserve">Govs piens</t>
  </si>
  <si>
    <t xml:space="preserve">Kazas piens</t>
  </si>
  <si>
    <t xml:space="preserve">Biezpiens (20% tauku)</t>
  </si>
  <si>
    <t xml:space="preserve">Biezpiens (9% tauku)</t>
  </si>
  <si>
    <t xml:space="preserve">Vājpiena biezpiens</t>
  </si>
  <si>
    <t xml:space="preserve">Kefīrs</t>
  </si>
  <si>
    <t xml:space="preserve">Salds krējums</t>
  </si>
  <si>
    <t xml:space="preserve">Skābs krējums</t>
  </si>
  <si>
    <t xml:space="preserve">Saldējums</t>
  </si>
  <si>
    <t xml:space="preserve">Rūgušpiens</t>
  </si>
  <si>
    <t xml:space="preserve">Čederas siers</t>
  </si>
  <si>
    <t xml:space="preserve">Kausētais siers</t>
  </si>
  <si>
    <t xml:space="preserve">Nesālīts sviests</t>
  </si>
  <si>
    <t xml:space="preserve">Kausēts sviests</t>
  </si>
  <si>
    <t xml:space="preserve">Aitas gaļa</t>
  </si>
  <si>
    <t xml:space="preserve">Trekna cūkgaļa</t>
  </si>
  <si>
    <t xml:space="preserve">Liesa cūkgaļa</t>
  </si>
  <si>
    <t xml:space="preserve">Liellopu gaļa</t>
  </si>
  <si>
    <t xml:space="preserve">Pīles gaļa</t>
  </si>
  <si>
    <t xml:space="preserve">Teļa gaļa</t>
  </si>
  <si>
    <t xml:space="preserve">Tītara gaļa</t>
  </si>
  <si>
    <t xml:space="preserve">Truša gaļa</t>
  </si>
  <si>
    <t xml:space="preserve">Vistas gaļa</t>
  </si>
  <si>
    <t xml:space="preserve">Zoss gaļa</t>
  </si>
  <si>
    <t xml:space="preserve">Cīsiņi</t>
  </si>
  <si>
    <t xml:space="preserve">Cūkas aknas</t>
  </si>
  <si>
    <t xml:space="preserve">Vārītā desa</t>
  </si>
  <si>
    <t xml:space="preserve">Žāvētā desa </t>
  </si>
  <si>
    <t xml:space="preserve">Liellopu aknas</t>
  </si>
  <si>
    <t xml:space="preserve">Smadzenes</t>
  </si>
  <si>
    <t xml:space="preserve">Šķiņķis</t>
  </si>
  <si>
    <t xml:space="preserve">Vistas ola</t>
  </si>
  <si>
    <t xml:space="preserve">Olu pulveris</t>
  </si>
  <si>
    <t xml:space="preserve">Karpa</t>
  </si>
  <si>
    <t xml:space="preserve">Līdaka</t>
  </si>
  <si>
    <t xml:space="preserve">Menca</t>
  </si>
  <si>
    <t xml:space="preserve">Zandarts</t>
  </si>
  <si>
    <t xml:space="preserve">Kaviārs</t>
  </si>
  <si>
    <t xml:space="preserve">Ķilavas</t>
  </si>
  <si>
    <t xml:space="preserve">Sālīts lasis</t>
  </si>
  <si>
    <t xml:space="preserve">Siļķe</t>
  </si>
  <si>
    <t xml:space="preserve">Šprotes</t>
  </si>
  <si>
    <t xml:space="preserve">Dienas norma</t>
  </si>
  <si>
    <t xml:space="preserve">1,5</t>
  </si>
  <si>
    <t xml:space="preserve">2,0</t>
  </si>
  <si>
    <t xml:space="preserve">15,0</t>
  </si>
  <si>
    <t xml:space="preserve">50,0</t>
  </si>
  <si>
    <t xml:space="preserve">800,0</t>
  </si>
  <si>
    <t xml:space="preserve">Aprēķināts</t>
  </si>
  <si>
    <t xml:space="preserve">Grupa</t>
  </si>
  <si>
    <t xml:space="preserve">Minimālais daudzums grupā</t>
  </si>
  <si>
    <t xml:space="preserve">Daudzums grupā</t>
  </si>
  <si>
    <t xml:space="preserve">Putraimi</t>
  </si>
  <si>
    <t xml:space="preserve">Milti / maize</t>
  </si>
  <si>
    <t xml:space="preserve">Dārzeņi</t>
  </si>
  <si>
    <t xml:space="preserve">Citrusaugļi</t>
  </si>
  <si>
    <t xml:space="preserve">Augļi</t>
  </si>
  <si>
    <t xml:space="preserve">Ogas</t>
  </si>
  <si>
    <t xml:space="preserve">Rieksti</t>
  </si>
  <si>
    <t xml:space="preserve">Saldie produkti</t>
  </si>
  <si>
    <t xml:space="preserve">Eļļas produkti</t>
  </si>
  <si>
    <t xml:space="preserve">Gaļas produkti</t>
  </si>
  <si>
    <t xml:space="preserve">Piena produkti</t>
  </si>
  <si>
    <t xml:space="preserve">Olas</t>
  </si>
  <si>
    <t xml:space="preserve">Zivju produkti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</si>
</sst>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General"/>
    <numFmt numFmtId="167" formatCode="[$€-426]\ #,##0.00;[RED][$€-426]&quot; -&quot;#,##0.00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  <font>
      <b val="true"/>
      <sz val="12"/>
      <name val="Roboto"/>
      <family val="0"/>
      <charset val="1"/>
    </font>
    <font>
      <b val="true"/>
      <sz val="12"/>
      <color rgb="FF000000"/>
      <name val="Roboto"/>
      <family val="0"/>
      <charset val="1"/>
    </font>
    <font>
      <b val="true"/>
      <i val="true"/>
      <sz val="11"/>
      <name val="Roboto"/>
      <family val="0"/>
      <charset val="1"/>
    </font>
    <font>
      <b val="true"/>
      <i val="true"/>
      <vertAlign val="subscript"/>
      <sz val="10"/>
      <name val="Arial"/>
      <family val="2"/>
      <charset val="1"/>
    </font>
    <font>
      <sz val="10"/>
      <color rgb="FF000000"/>
      <name val="Roboto"/>
      <family val="0"/>
      <charset val="1"/>
    </font>
    <font>
      <b val="true"/>
      <sz val="10"/>
      <name val="Roboto"/>
      <family val="0"/>
      <charset val="1"/>
    </font>
    <font>
      <b val="true"/>
      <sz val="10"/>
      <color rgb="FF000000"/>
      <name val="Roboto"/>
      <family val="0"/>
      <charset val="1"/>
    </font>
    <font>
      <i val="true"/>
      <sz val="10"/>
      <color rgb="FF000000"/>
      <name val="Roboto"/>
      <family val="0"/>
      <charset val="1"/>
    </font>
    <font>
      <i val="true"/>
      <sz val="1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03" colorId="64" zoomScale="100" zoomScaleNormal="100" zoomScalePageLayoutView="100" workbookViewId="0">
      <selection pane="topLeft" activeCell="B120" activeCellId="0" sqref="B120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20.18"/>
    <col collapsed="false" customWidth="true" hidden="false" outlineLevel="0" max="3" min="2" style="1" width="6.71"/>
    <col collapsed="false" customWidth="true" hidden="false" outlineLevel="0" max="4" min="4" style="1" width="6.85"/>
    <col collapsed="false" customWidth="true" hidden="true" outlineLevel="0" max="5" min="5" style="1" width="6.01"/>
    <col collapsed="false" customWidth="true" hidden="false" outlineLevel="0" max="6" min="6" style="1" width="20.29"/>
    <col collapsed="false" customWidth="true" hidden="false" outlineLevel="0" max="8" min="7" style="1" width="5.46"/>
    <col collapsed="false" customWidth="true" hidden="false" outlineLevel="0" max="9" min="9" style="1" width="6.57"/>
    <col collapsed="false" customWidth="true" hidden="false" outlineLevel="0" max="10" min="10" style="1" width="5.46"/>
    <col collapsed="false" customWidth="true" hidden="false" outlineLevel="0" max="11" min="11" style="1" width="5.88"/>
    <col collapsed="false" customWidth="true" hidden="false" outlineLevel="0" max="12" min="12" style="1" width="11.52"/>
    <col collapsed="false" customWidth="false" hidden="false" outlineLevel="0" max="14" min="13" style="1" width="8.67"/>
    <col collapsed="false" customWidth="true" hidden="false" outlineLevel="0" max="15" min="15" style="1" width="11.66"/>
    <col collapsed="false" customWidth="true" hidden="false" outlineLevel="0" max="16" min="16" style="1" width="12.5"/>
    <col collapsed="false" customWidth="true" hidden="false" outlineLevel="0" max="17" min="17" style="1" width="17.55"/>
    <col collapsed="false" customWidth="true" hidden="false" outlineLevel="0" max="18" min="18" style="1" width="12.37"/>
    <col collapsed="false" customWidth="false" hidden="false" outlineLevel="0" max="1023" min="19" style="1" width="8.67"/>
    <col collapsed="false" customWidth="true" hidden="false" outlineLevel="0" max="1024" min="1024" style="1" width="11.52"/>
  </cols>
  <sheetData>
    <row r="1" customFormat="false" ht="49.95" hidden="false" customHeight="true" outlineLevel="0" collapsed="false">
      <c r="A1" s="2" t="s">
        <v>0</v>
      </c>
      <c r="B1" s="3" t="s">
        <v>1</v>
      </c>
      <c r="C1" s="3"/>
      <c r="D1" s="3"/>
      <c r="E1" s="3" t="s">
        <v>2</v>
      </c>
      <c r="F1" s="3"/>
      <c r="G1" s="3" t="s">
        <v>3</v>
      </c>
      <c r="H1" s="3"/>
      <c r="I1" s="3"/>
      <c r="J1" s="3"/>
      <c r="K1" s="3"/>
      <c r="L1" s="3" t="s">
        <v>4</v>
      </c>
      <c r="M1" s="3"/>
      <c r="N1" s="3"/>
      <c r="O1" s="3" t="s">
        <v>5</v>
      </c>
      <c r="P1" s="3" t="s">
        <v>6</v>
      </c>
      <c r="Q1" s="4" t="s">
        <v>7</v>
      </c>
      <c r="R1" s="5" t="s">
        <v>8</v>
      </c>
    </row>
    <row r="2" customFormat="false" ht="14.9" hidden="false" customHeight="false" outlineLevel="0" collapsed="false">
      <c r="A2" s="2"/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3"/>
      <c r="P2" s="3"/>
      <c r="Q2" s="4"/>
      <c r="R2" s="4"/>
    </row>
    <row r="3" customFormat="false" ht="13.8" hidden="false" customHeight="false" outlineLevel="0" collapsed="false">
      <c r="A3" s="7" t="s">
        <v>22</v>
      </c>
      <c r="B3" s="8" t="n">
        <v>13</v>
      </c>
      <c r="C3" s="8" t="n">
        <v>6.5</v>
      </c>
      <c r="D3" s="8" t="n">
        <v>61.1</v>
      </c>
      <c r="E3" s="8" t="n">
        <v>1590</v>
      </c>
      <c r="F3" s="8" t="n">
        <v>380</v>
      </c>
      <c r="G3" s="8" t="n">
        <v>0</v>
      </c>
      <c r="H3" s="8" t="n">
        <v>0.6</v>
      </c>
      <c r="I3" s="8" t="n">
        <v>0.14</v>
      </c>
      <c r="J3" s="8" t="n">
        <v>0.98</v>
      </c>
      <c r="K3" s="8" t="n">
        <v>0</v>
      </c>
      <c r="L3" s="8" t="n">
        <v>75</v>
      </c>
      <c r="M3" s="8" t="n">
        <v>327</v>
      </c>
      <c r="N3" s="8" t="n">
        <v>4.3</v>
      </c>
      <c r="O3" s="9" t="n">
        <v>1.5</v>
      </c>
      <c r="P3" s="8" t="n">
        <f aca="false">ROUND(O3/10, 2)</f>
        <v>0.15</v>
      </c>
      <c r="Q3" s="10" t="n">
        <v>0</v>
      </c>
      <c r="R3" s="10" t="n">
        <f aca="false">ROUND(O3*Q3, 2)</f>
        <v>0</v>
      </c>
    </row>
    <row r="4" customFormat="false" ht="13.8" hidden="false" customHeight="false" outlineLevel="0" collapsed="false">
      <c r="A4" s="7" t="s">
        <v>23</v>
      </c>
      <c r="B4" s="8" t="n">
        <v>12.5</v>
      </c>
      <c r="C4" s="8" t="n">
        <v>2.5</v>
      </c>
      <c r="D4" s="8" t="n">
        <v>67.4</v>
      </c>
      <c r="E4" s="8" t="n">
        <v>1480</v>
      </c>
      <c r="F4" s="8" t="n">
        <v>354</v>
      </c>
      <c r="G4" s="8" t="n">
        <v>0</v>
      </c>
      <c r="H4" s="8" t="n">
        <v>0.51</v>
      </c>
      <c r="I4" s="8" t="n">
        <v>0.24</v>
      </c>
      <c r="J4" s="8" t="n">
        <v>4.3</v>
      </c>
      <c r="K4" s="8" t="n">
        <v>0</v>
      </c>
      <c r="L4" s="8" t="n">
        <v>56</v>
      </c>
      <c r="M4" s="8" t="n">
        <v>294</v>
      </c>
      <c r="N4" s="8" t="n">
        <v>1.8</v>
      </c>
      <c r="O4" s="9" t="n">
        <v>2.4</v>
      </c>
      <c r="P4" s="11" t="n">
        <f aca="false">ROUND(O4/10, 2)</f>
        <v>0.24</v>
      </c>
      <c r="Q4" s="10" t="n">
        <v>0</v>
      </c>
      <c r="R4" s="10" t="n">
        <f aca="false">ROUND(O4*Q4, 2)</f>
        <v>0</v>
      </c>
    </row>
    <row r="5" customFormat="false" ht="13.8" hidden="false" customHeight="false" outlineLevel="0" collapsed="false">
      <c r="A5" s="7" t="s">
        <v>24</v>
      </c>
      <c r="B5" s="8" t="n">
        <v>8.9</v>
      </c>
      <c r="C5" s="8" t="n">
        <v>1.2</v>
      </c>
      <c r="D5" s="8" t="n">
        <v>72.4</v>
      </c>
      <c r="E5" s="8" t="n">
        <v>1440</v>
      </c>
      <c r="F5" s="8" t="n">
        <v>345</v>
      </c>
      <c r="G5" s="8" t="n">
        <v>0</v>
      </c>
      <c r="H5" s="8" t="n">
        <v>0.3</v>
      </c>
      <c r="I5" s="8" t="n">
        <v>0.1</v>
      </c>
      <c r="J5" s="8" t="n">
        <v>2.5</v>
      </c>
      <c r="K5" s="8" t="n">
        <v>0</v>
      </c>
      <c r="L5" s="8" t="n">
        <v>42</v>
      </c>
      <c r="M5" s="8" t="n">
        <v>236</v>
      </c>
      <c r="N5" s="8" t="n">
        <v>2.1</v>
      </c>
      <c r="O5" s="9" t="n">
        <v>0.95</v>
      </c>
      <c r="P5" s="11" t="n">
        <f aca="false">ROUND(O5/10, 2)</f>
        <v>0.1</v>
      </c>
      <c r="Q5" s="10" t="n">
        <v>0</v>
      </c>
      <c r="R5" s="10" t="n">
        <f aca="false">ROUND(O5*Q5, 2)</f>
        <v>0</v>
      </c>
    </row>
    <row r="6" customFormat="false" ht="13.8" hidden="false" customHeight="false" outlineLevel="0" collapsed="false">
      <c r="A6" s="7" t="s">
        <v>25</v>
      </c>
      <c r="B6" s="8" t="n">
        <v>11.8</v>
      </c>
      <c r="C6" s="8" t="n">
        <v>1.5</v>
      </c>
      <c r="D6" s="8" t="n">
        <v>69.6</v>
      </c>
      <c r="E6" s="8" t="n">
        <v>1460</v>
      </c>
      <c r="F6" s="8" t="n">
        <v>348</v>
      </c>
      <c r="G6" s="8" t="n">
        <v>0</v>
      </c>
      <c r="H6" s="8" t="n">
        <v>0.45</v>
      </c>
      <c r="I6" s="8" t="n">
        <v>0.26</v>
      </c>
      <c r="J6" s="8" t="n">
        <v>5.3</v>
      </c>
      <c r="K6" s="8" t="n">
        <v>0</v>
      </c>
      <c r="L6" s="8" t="n">
        <v>40</v>
      </c>
      <c r="M6" s="8" t="n">
        <v>280</v>
      </c>
      <c r="N6" s="8" t="n">
        <v>3.3</v>
      </c>
      <c r="O6" s="9" t="n">
        <v>1.15</v>
      </c>
      <c r="P6" s="11" t="n">
        <f aca="false">ROUND(O6/10, 2)</f>
        <v>0.12</v>
      </c>
      <c r="Q6" s="10" t="n">
        <v>0</v>
      </c>
      <c r="R6" s="10" t="n">
        <f aca="false">ROUND(O6*Q6, 2)</f>
        <v>0</v>
      </c>
    </row>
    <row r="7" customFormat="false" ht="13.8" hidden="false" customHeight="false" outlineLevel="0" collapsed="false">
      <c r="A7" s="7" t="s">
        <v>26</v>
      </c>
      <c r="B7" s="8" t="n">
        <v>10.8</v>
      </c>
      <c r="C7" s="8" t="n">
        <v>0.9</v>
      </c>
      <c r="D7" s="8" t="n">
        <v>73.6</v>
      </c>
      <c r="E7" s="8" t="n">
        <v>1480</v>
      </c>
      <c r="F7" s="8" t="n">
        <v>354</v>
      </c>
      <c r="G7" s="8" t="n">
        <v>0</v>
      </c>
      <c r="H7" s="8" t="n">
        <v>0.18</v>
      </c>
      <c r="I7" s="8" t="n">
        <v>0.13</v>
      </c>
      <c r="J7" s="8" t="n">
        <v>1</v>
      </c>
      <c r="K7" s="8" t="n">
        <v>0</v>
      </c>
      <c r="L7" s="8" t="n">
        <v>22</v>
      </c>
      <c r="M7" s="8" t="n">
        <v>92</v>
      </c>
      <c r="N7" s="8" t="n">
        <v>1.1</v>
      </c>
      <c r="O7" s="9" t="n">
        <v>1.55</v>
      </c>
      <c r="P7" s="11" t="n">
        <f aca="false">ROUND(O7/10, 2)</f>
        <v>0.16</v>
      </c>
      <c r="Q7" s="10" t="n">
        <v>0</v>
      </c>
      <c r="R7" s="10" t="n">
        <f aca="false">ROUND(O7*Q7, 2)</f>
        <v>0</v>
      </c>
    </row>
    <row r="8" customFormat="false" ht="13.8" hidden="false" customHeight="false" outlineLevel="0" collapsed="false">
      <c r="A8" s="7" t="s">
        <v>27</v>
      </c>
      <c r="B8" s="8" t="n">
        <v>6.7</v>
      </c>
      <c r="C8" s="8" t="n">
        <v>0.7</v>
      </c>
      <c r="D8" s="8" t="n">
        <v>50.3</v>
      </c>
      <c r="E8" s="8" t="n">
        <v>1000</v>
      </c>
      <c r="F8" s="8" t="n">
        <v>240</v>
      </c>
      <c r="G8" s="8" t="n">
        <v>0</v>
      </c>
      <c r="H8" s="8" t="n">
        <v>0.1</v>
      </c>
      <c r="I8" s="8" t="n">
        <v>0.07</v>
      </c>
      <c r="J8" s="8" t="n">
        <v>0.67</v>
      </c>
      <c r="K8" s="8" t="n">
        <v>0</v>
      </c>
      <c r="L8" s="8" t="n">
        <v>20</v>
      </c>
      <c r="M8" s="8" t="n">
        <v>98</v>
      </c>
      <c r="N8" s="8" t="n">
        <v>1.8</v>
      </c>
      <c r="O8" s="9" t="n">
        <v>2.6</v>
      </c>
      <c r="P8" s="11" t="n">
        <f aca="false">ROUND(O8/10, 2)</f>
        <v>0.26</v>
      </c>
      <c r="Q8" s="10" t="n">
        <v>0</v>
      </c>
      <c r="R8" s="10" t="n">
        <f aca="false">ROUND(O8*Q8, 2)</f>
        <v>0</v>
      </c>
    </row>
    <row r="9" customFormat="false" ht="13.8" hidden="false" customHeight="false" outlineLevel="0" collapsed="false">
      <c r="A9" s="7" t="s">
        <v>28</v>
      </c>
      <c r="B9" s="8" t="n">
        <v>5</v>
      </c>
      <c r="C9" s="8" t="n">
        <v>1.1</v>
      </c>
      <c r="D9" s="8" t="n">
        <v>42.5</v>
      </c>
      <c r="E9" s="8" t="n">
        <v>850</v>
      </c>
      <c r="F9" s="8" t="n">
        <v>204</v>
      </c>
      <c r="G9" s="8" t="n">
        <v>0</v>
      </c>
      <c r="H9" s="8" t="n">
        <v>0.15</v>
      </c>
      <c r="I9" s="8" t="n">
        <v>0.13</v>
      </c>
      <c r="J9" s="8" t="n">
        <v>0.45</v>
      </c>
      <c r="K9" s="8" t="n">
        <v>0</v>
      </c>
      <c r="L9" s="8" t="n">
        <v>29</v>
      </c>
      <c r="M9" s="8" t="n">
        <v>200</v>
      </c>
      <c r="N9" s="8" t="n">
        <v>2</v>
      </c>
      <c r="O9" s="9" t="n">
        <v>2.2</v>
      </c>
      <c r="P9" s="11" t="n">
        <f aca="false">ROUND(O9/10, 2)</f>
        <v>0.22</v>
      </c>
      <c r="Q9" s="10" t="n">
        <v>0</v>
      </c>
      <c r="R9" s="10" t="n">
        <f aca="false">ROUND(O9*Q9, 2)</f>
        <v>0</v>
      </c>
    </row>
    <row r="10" customFormat="false" ht="13.8" hidden="false" customHeight="false" outlineLevel="0" collapsed="false">
      <c r="A10" s="7" t="s">
        <v>29</v>
      </c>
      <c r="B10" s="8" t="n">
        <v>11</v>
      </c>
      <c r="C10" s="8" t="n">
        <v>0.9</v>
      </c>
      <c r="D10" s="8" t="n">
        <v>74.2</v>
      </c>
      <c r="E10" s="8" t="n">
        <v>1500</v>
      </c>
      <c r="F10" s="8" t="n">
        <v>358</v>
      </c>
      <c r="G10" s="8" t="n">
        <v>0</v>
      </c>
      <c r="H10" s="8" t="n">
        <v>0</v>
      </c>
      <c r="I10" s="8" t="n">
        <v>0.04</v>
      </c>
      <c r="J10" s="8" t="n">
        <v>1.1</v>
      </c>
      <c r="K10" s="8" t="n">
        <v>0</v>
      </c>
      <c r="L10" s="8" t="n">
        <v>34</v>
      </c>
      <c r="M10" s="8" t="n">
        <v>97</v>
      </c>
      <c r="N10" s="8" t="n">
        <v>1.5</v>
      </c>
      <c r="O10" s="9" t="n">
        <v>1.8</v>
      </c>
      <c r="P10" s="11" t="n">
        <f aca="false">ROUND(O10/10, 2)</f>
        <v>0.18</v>
      </c>
      <c r="Q10" s="10" t="n">
        <v>0</v>
      </c>
      <c r="R10" s="10" t="n">
        <f aca="false">ROUND(O10*Q10, 2)</f>
        <v>0</v>
      </c>
    </row>
    <row r="11" customFormat="false" ht="13.8" hidden="false" customHeight="false" outlineLevel="0" collapsed="false">
      <c r="A11" s="7" t="s">
        <v>30</v>
      </c>
      <c r="B11" s="8" t="n">
        <v>11.2</v>
      </c>
      <c r="C11" s="8" t="n">
        <v>0.8</v>
      </c>
      <c r="D11" s="8" t="n">
        <v>73.1</v>
      </c>
      <c r="E11" s="8" t="n">
        <v>1480</v>
      </c>
      <c r="F11" s="8" t="n">
        <v>354</v>
      </c>
      <c r="G11" s="8" t="n">
        <v>0</v>
      </c>
      <c r="H11" s="8" t="n">
        <v>0.1</v>
      </c>
      <c r="I11" s="8" t="n">
        <v>0.1</v>
      </c>
      <c r="J11" s="8" t="n">
        <v>0</v>
      </c>
      <c r="K11" s="8" t="n">
        <v>0</v>
      </c>
      <c r="L11" s="8" t="n">
        <v>41</v>
      </c>
      <c r="M11" s="8" t="n">
        <v>101</v>
      </c>
      <c r="N11" s="8" t="n">
        <v>1.6</v>
      </c>
      <c r="O11" s="9" t="n">
        <v>1.1</v>
      </c>
      <c r="P11" s="11" t="n">
        <f aca="false">ROUND(O11/10, 2)</f>
        <v>0.11</v>
      </c>
      <c r="Q11" s="10" t="n">
        <v>0</v>
      </c>
      <c r="R11" s="10" t="n">
        <f aca="false">ROUND(O11*Q11, 2)</f>
        <v>0</v>
      </c>
    </row>
    <row r="12" customFormat="false" ht="13.8" hidden="false" customHeight="false" outlineLevel="0" collapsed="false">
      <c r="A12" s="7" t="s">
        <v>31</v>
      </c>
      <c r="B12" s="8" t="n">
        <v>9.5</v>
      </c>
      <c r="C12" s="8" t="n">
        <v>1.5</v>
      </c>
      <c r="D12" s="8" t="n">
        <v>72</v>
      </c>
      <c r="E12" s="8" t="n">
        <v>1460</v>
      </c>
      <c r="F12" s="8" t="n">
        <v>348</v>
      </c>
      <c r="G12" s="8" t="n">
        <v>0</v>
      </c>
      <c r="H12" s="8" t="n">
        <v>0.2</v>
      </c>
      <c r="I12" s="8" t="n">
        <v>0</v>
      </c>
      <c r="J12" s="8" t="n">
        <v>0</v>
      </c>
      <c r="K12" s="8" t="n">
        <v>0</v>
      </c>
      <c r="L12" s="8" t="n">
        <v>42</v>
      </c>
      <c r="M12" s="8" t="n">
        <v>236</v>
      </c>
      <c r="N12" s="8" t="n">
        <v>2.1</v>
      </c>
      <c r="O12" s="9" t="n">
        <v>0.85</v>
      </c>
      <c r="P12" s="11" t="n">
        <f aca="false">ROUND(O12/10, 2)</f>
        <v>0.09</v>
      </c>
      <c r="Q12" s="10" t="n">
        <v>3.27411361036981</v>
      </c>
      <c r="R12" s="10" t="n">
        <f aca="false">ROUND(O12*Q12, 2)</f>
        <v>2.78</v>
      </c>
    </row>
    <row r="13" customFormat="false" ht="13.8" hidden="false" customHeight="false" outlineLevel="0" collapsed="false">
      <c r="A13" s="7" t="s">
        <v>32</v>
      </c>
      <c r="B13" s="8" t="n">
        <v>7.6</v>
      </c>
      <c r="C13" s="8" t="n">
        <v>1</v>
      </c>
      <c r="D13" s="8" t="n">
        <v>75.8</v>
      </c>
      <c r="E13" s="8" t="n">
        <v>1470</v>
      </c>
      <c r="F13" s="8" t="n">
        <v>351</v>
      </c>
      <c r="G13" s="8" t="n">
        <v>0</v>
      </c>
      <c r="H13" s="8" t="n">
        <v>0</v>
      </c>
      <c r="I13" s="8" t="n">
        <v>0.03</v>
      </c>
      <c r="J13" s="8" t="n">
        <v>1.6</v>
      </c>
      <c r="K13" s="8" t="n">
        <v>0</v>
      </c>
      <c r="L13" s="8" t="n">
        <v>30</v>
      </c>
      <c r="M13" s="8" t="n">
        <v>104</v>
      </c>
      <c r="N13" s="8" t="n">
        <v>1.3</v>
      </c>
      <c r="O13" s="9" t="n">
        <v>2.3</v>
      </c>
      <c r="P13" s="11" t="n">
        <f aca="false">ROUND(O13/10, 2)</f>
        <v>0.23</v>
      </c>
      <c r="Q13" s="10" t="n">
        <v>0</v>
      </c>
      <c r="R13" s="10" t="n">
        <f aca="false">ROUND(O13*Q13, 2)</f>
        <v>0</v>
      </c>
    </row>
    <row r="14" customFormat="false" ht="13.8" hidden="false" customHeight="false" outlineLevel="0" collapsed="false">
      <c r="A14" s="7" t="s">
        <v>33</v>
      </c>
      <c r="B14" s="8" t="n">
        <v>10.5</v>
      </c>
      <c r="C14" s="8" t="n">
        <v>1.6</v>
      </c>
      <c r="D14" s="8" t="n">
        <v>70.4</v>
      </c>
      <c r="E14" s="8" t="n">
        <v>1450</v>
      </c>
      <c r="F14" s="8" t="n">
        <v>347</v>
      </c>
      <c r="G14" s="8" t="n">
        <v>0</v>
      </c>
      <c r="H14" s="8" t="n">
        <v>0.33</v>
      </c>
      <c r="I14" s="8" t="n">
        <v>0.22</v>
      </c>
      <c r="J14" s="8" t="n">
        <v>1.1</v>
      </c>
      <c r="K14" s="8" t="n">
        <v>0</v>
      </c>
      <c r="L14" s="8" t="n">
        <v>49</v>
      </c>
      <c r="M14" s="8" t="n">
        <v>263</v>
      </c>
      <c r="N14" s="8" t="n">
        <v>3.4</v>
      </c>
      <c r="O14" s="9" t="n">
        <v>2</v>
      </c>
      <c r="P14" s="11" t="n">
        <f aca="false">ROUND(O14/10, 2)</f>
        <v>0.2</v>
      </c>
      <c r="Q14" s="10" t="n">
        <v>0</v>
      </c>
      <c r="R14" s="10" t="n">
        <f aca="false">ROUND(O14*Q14, 2)</f>
        <v>0</v>
      </c>
    </row>
    <row r="15" customFormat="false" ht="13.8" hidden="false" customHeight="false" outlineLevel="0" collapsed="false">
      <c r="A15" s="7" t="s">
        <v>34</v>
      </c>
      <c r="B15" s="8" t="n">
        <v>23.4</v>
      </c>
      <c r="C15" s="8" t="n">
        <v>2.4</v>
      </c>
      <c r="D15" s="8" t="n">
        <v>53.1</v>
      </c>
      <c r="E15" s="8" t="n">
        <v>1410</v>
      </c>
      <c r="F15" s="8" t="n">
        <v>336</v>
      </c>
      <c r="G15" s="8" t="n">
        <v>0</v>
      </c>
      <c r="H15" s="8" t="n">
        <v>0.72</v>
      </c>
      <c r="I15" s="8" t="n">
        <v>0.15</v>
      </c>
      <c r="J15" s="8" t="n">
        <v>2.4</v>
      </c>
      <c r="K15" s="8" t="n">
        <v>4</v>
      </c>
      <c r="L15" s="8" t="n">
        <v>64</v>
      </c>
      <c r="M15" s="8" t="n">
        <v>377</v>
      </c>
      <c r="N15" s="8" t="n">
        <v>4.8</v>
      </c>
      <c r="O15" s="9" t="n">
        <v>1.25</v>
      </c>
      <c r="P15" s="11" t="n">
        <f aca="false">ROUND(O15/10, 2)</f>
        <v>0.13</v>
      </c>
      <c r="Q15" s="10" t="n">
        <v>2.77332994450798</v>
      </c>
      <c r="R15" s="10" t="n">
        <f aca="false">ROUND(O15*Q15, 2)</f>
        <v>3.47</v>
      </c>
    </row>
    <row r="16" customFormat="false" ht="13.8" hidden="false" customHeight="false" outlineLevel="0" collapsed="false">
      <c r="A16" s="7" t="s">
        <v>35</v>
      </c>
      <c r="B16" s="8" t="n">
        <v>1.3</v>
      </c>
      <c r="C16" s="8" t="n">
        <v>0</v>
      </c>
      <c r="D16" s="8" t="n">
        <v>10.8</v>
      </c>
      <c r="E16" s="8" t="n">
        <v>63</v>
      </c>
      <c r="F16" s="8" t="n">
        <v>15</v>
      </c>
      <c r="G16" s="8" t="n">
        <v>0</v>
      </c>
      <c r="H16" s="8" t="n">
        <v>0.02</v>
      </c>
      <c r="I16" s="8" t="n">
        <v>0.05</v>
      </c>
      <c r="J16" s="8" t="n">
        <v>0.4</v>
      </c>
      <c r="K16" s="8" t="n">
        <v>10</v>
      </c>
      <c r="L16" s="8" t="n">
        <v>28</v>
      </c>
      <c r="M16" s="8" t="n">
        <v>43</v>
      </c>
      <c r="N16" s="8" t="n">
        <v>1.4</v>
      </c>
      <c r="O16" s="9" t="n">
        <v>2</v>
      </c>
      <c r="P16" s="11" t="n">
        <f aca="false">ROUND(O16/10, 2)</f>
        <v>0.2</v>
      </c>
      <c r="Q16" s="10" t="n">
        <v>0</v>
      </c>
      <c r="R16" s="10" t="n">
        <f aca="false">ROUND(O16*Q16, 2)</f>
        <v>0</v>
      </c>
    </row>
    <row r="17" customFormat="false" ht="13.8" hidden="false" customHeight="false" outlineLevel="0" collapsed="false">
      <c r="A17" s="7" t="s">
        <v>36</v>
      </c>
      <c r="B17" s="8" t="n">
        <v>1.5</v>
      </c>
      <c r="C17" s="8" t="n">
        <v>0</v>
      </c>
      <c r="D17" s="8" t="n">
        <v>8</v>
      </c>
      <c r="E17" s="8" t="n">
        <v>163</v>
      </c>
      <c r="F17" s="8" t="n">
        <v>39</v>
      </c>
      <c r="G17" s="8" t="n">
        <v>0</v>
      </c>
      <c r="H17" s="8" t="n">
        <v>0.6</v>
      </c>
      <c r="I17" s="8" t="n">
        <v>0.6</v>
      </c>
      <c r="J17" s="8" t="n">
        <v>0.4</v>
      </c>
      <c r="K17" s="8" t="n">
        <v>5</v>
      </c>
      <c r="L17" s="8" t="n">
        <v>43</v>
      </c>
      <c r="M17" s="8" t="n">
        <v>39</v>
      </c>
      <c r="N17" s="8" t="n">
        <v>0.8</v>
      </c>
      <c r="O17" s="9" t="n">
        <v>0.75</v>
      </c>
      <c r="P17" s="11" t="n">
        <f aca="false">ROUND(O17/10, 2)</f>
        <v>0.08</v>
      </c>
      <c r="Q17" s="10" t="n">
        <v>0</v>
      </c>
      <c r="R17" s="10" t="n">
        <f aca="false">ROUND(O17*Q17, 2)</f>
        <v>0</v>
      </c>
    </row>
    <row r="18" customFormat="false" ht="13.8" hidden="false" customHeight="false" outlineLevel="0" collapsed="false">
      <c r="A18" s="7" t="s">
        <v>37</v>
      </c>
      <c r="B18" s="8" t="n">
        <v>0.8</v>
      </c>
      <c r="C18" s="8" t="n">
        <v>0</v>
      </c>
      <c r="D18" s="8" t="n">
        <v>3</v>
      </c>
      <c r="E18" s="8" t="n">
        <v>67</v>
      </c>
      <c r="F18" s="8" t="n">
        <v>16</v>
      </c>
      <c r="G18" s="8" t="n">
        <v>0</v>
      </c>
      <c r="H18" s="8" t="n">
        <v>0.03</v>
      </c>
      <c r="I18" s="8" t="n">
        <v>0.04</v>
      </c>
      <c r="J18" s="8" t="n">
        <v>0.2</v>
      </c>
      <c r="K18" s="8" t="n">
        <v>5</v>
      </c>
      <c r="L18" s="8" t="n">
        <v>23</v>
      </c>
      <c r="M18" s="8" t="n">
        <v>27</v>
      </c>
      <c r="N18" s="8" t="n">
        <v>1</v>
      </c>
      <c r="O18" s="9" t="n">
        <v>1</v>
      </c>
      <c r="P18" s="11" t="n">
        <f aca="false">ROUND(O18/10, 2)</f>
        <v>0.1</v>
      </c>
      <c r="Q18" s="10" t="n">
        <v>0</v>
      </c>
      <c r="R18" s="10" t="n">
        <f aca="false">ROUND(O18*Q18, 2)</f>
        <v>0</v>
      </c>
    </row>
    <row r="19" customFormat="false" ht="13.8" hidden="false" customHeight="false" outlineLevel="0" collapsed="false">
      <c r="A19" s="7" t="s">
        <v>38</v>
      </c>
      <c r="B19" s="8" t="n">
        <v>0.8</v>
      </c>
      <c r="C19" s="8" t="n">
        <v>0</v>
      </c>
      <c r="D19" s="8" t="n">
        <v>0.5</v>
      </c>
      <c r="E19" s="8" t="n">
        <v>38</v>
      </c>
      <c r="F19" s="8" t="n">
        <v>9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25</v>
      </c>
      <c r="M19" s="8" t="n">
        <v>20</v>
      </c>
      <c r="N19" s="8" t="n">
        <v>1.2</v>
      </c>
      <c r="O19" s="9" t="n">
        <v>5.5</v>
      </c>
      <c r="P19" s="11" t="n">
        <f aca="false">ROUND(O19/10, 2)</f>
        <v>0.55</v>
      </c>
      <c r="Q19" s="10" t="n">
        <v>0</v>
      </c>
      <c r="R19" s="10" t="n">
        <f aca="false">ROUND(O19*Q19, 2)</f>
        <v>0</v>
      </c>
    </row>
    <row r="20" customFormat="false" ht="13.8" hidden="false" customHeight="false" outlineLevel="0" collapsed="false">
      <c r="A20" s="7" t="s">
        <v>39</v>
      </c>
      <c r="B20" s="8" t="n">
        <v>1.8</v>
      </c>
      <c r="C20" s="8" t="n">
        <v>0</v>
      </c>
      <c r="D20" s="8" t="n">
        <v>5.4</v>
      </c>
      <c r="E20" s="8" t="n">
        <v>126</v>
      </c>
      <c r="F20" s="8" t="n">
        <v>30</v>
      </c>
      <c r="G20" s="8" t="n">
        <v>0</v>
      </c>
      <c r="H20" s="8" t="n">
        <v>0.06</v>
      </c>
      <c r="I20" s="8" t="n">
        <v>0.05</v>
      </c>
      <c r="J20" s="8" t="n">
        <v>0.4</v>
      </c>
      <c r="K20" s="8" t="n">
        <v>30</v>
      </c>
      <c r="L20" s="8" t="n">
        <v>48</v>
      </c>
      <c r="M20" s="8" t="n">
        <v>31</v>
      </c>
      <c r="N20" s="8" t="n">
        <v>1.1</v>
      </c>
      <c r="O20" s="9" t="n">
        <v>0.8</v>
      </c>
      <c r="P20" s="11" t="n">
        <f aca="false">ROUND(O20/10, 2)</f>
        <v>0.08</v>
      </c>
      <c r="Q20" s="10" t="n">
        <v>0</v>
      </c>
      <c r="R20" s="10" t="n">
        <f aca="false">ROUND(O20*Q20, 2)</f>
        <v>0</v>
      </c>
    </row>
    <row r="21" customFormat="false" ht="13.8" hidden="false" customHeight="false" outlineLevel="0" collapsed="false">
      <c r="A21" s="7" t="s">
        <v>40</v>
      </c>
      <c r="B21" s="8" t="n">
        <v>1.2</v>
      </c>
      <c r="C21" s="8" t="n">
        <v>0</v>
      </c>
      <c r="D21" s="8" t="n">
        <v>3.3</v>
      </c>
      <c r="E21" s="8" t="n">
        <v>105</v>
      </c>
      <c r="F21" s="8" t="n">
        <v>25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20</v>
      </c>
      <c r="L21" s="8" t="n">
        <v>51</v>
      </c>
      <c r="M21" s="8" t="n">
        <v>34</v>
      </c>
      <c r="N21" s="8" t="n">
        <v>0.3</v>
      </c>
      <c r="O21" s="9" t="n">
        <v>1.8</v>
      </c>
      <c r="P21" s="11" t="n">
        <f aca="false">ROUND(O21/10, 2)</f>
        <v>0.18</v>
      </c>
      <c r="Q21" s="10" t="n">
        <v>0</v>
      </c>
      <c r="R21" s="10" t="n">
        <f aca="false">ROUND(O21*Q21, 2)</f>
        <v>0</v>
      </c>
    </row>
    <row r="22" customFormat="false" ht="13.8" hidden="false" customHeight="false" outlineLevel="0" collapsed="false">
      <c r="A22" s="7" t="s">
        <v>41</v>
      </c>
      <c r="B22" s="8" t="n">
        <v>2.5</v>
      </c>
      <c r="C22" s="8" t="n">
        <v>0</v>
      </c>
      <c r="D22" s="8" t="n">
        <v>4.9</v>
      </c>
      <c r="E22" s="8" t="n">
        <v>126</v>
      </c>
      <c r="F22" s="8" t="n">
        <v>30</v>
      </c>
      <c r="G22" s="8" t="n">
        <v>0</v>
      </c>
      <c r="H22" s="8" t="n">
        <v>0.11</v>
      </c>
      <c r="I22" s="8" t="n">
        <v>0.1</v>
      </c>
      <c r="J22" s="8" t="n">
        <v>0.6</v>
      </c>
      <c r="K22" s="8" t="n">
        <v>70</v>
      </c>
      <c r="L22" s="8" t="n">
        <v>26</v>
      </c>
      <c r="M22" s="8" t="n">
        <v>51</v>
      </c>
      <c r="N22" s="8" t="n">
        <v>1.4</v>
      </c>
      <c r="O22" s="9" t="n">
        <v>3.18</v>
      </c>
      <c r="P22" s="11" t="n">
        <f aca="false">ROUND(O22/10, 2)</f>
        <v>0.32</v>
      </c>
      <c r="Q22" s="10" t="n">
        <v>0</v>
      </c>
      <c r="R22" s="10" t="n">
        <f aca="false">ROUND(O22*Q22, 2)</f>
        <v>0</v>
      </c>
    </row>
    <row r="23" customFormat="false" ht="13.8" hidden="false" customHeight="false" outlineLevel="0" collapsed="false">
      <c r="A23" s="7" t="s">
        <v>42</v>
      </c>
      <c r="B23" s="8" t="n">
        <v>2</v>
      </c>
      <c r="C23" s="8" t="n">
        <v>0</v>
      </c>
      <c r="D23" s="8" t="n">
        <v>21</v>
      </c>
      <c r="E23" s="8" t="n">
        <v>394</v>
      </c>
      <c r="F23" s="8" t="n">
        <v>94</v>
      </c>
      <c r="G23" s="8" t="n">
        <v>0</v>
      </c>
      <c r="H23" s="8" t="n">
        <v>0.1</v>
      </c>
      <c r="I23" s="8" t="n">
        <v>0.05</v>
      </c>
      <c r="J23" s="8" t="n">
        <v>0.9</v>
      </c>
      <c r="K23" s="8" t="n">
        <v>10</v>
      </c>
      <c r="L23" s="8" t="n">
        <v>10</v>
      </c>
      <c r="M23" s="8" t="n">
        <v>50</v>
      </c>
      <c r="N23" s="8" t="n">
        <v>1.2</v>
      </c>
      <c r="O23" s="9" t="n">
        <v>0.7</v>
      </c>
      <c r="P23" s="11" t="n">
        <f aca="false">ROUND(O23/10, 2)</f>
        <v>0.07</v>
      </c>
      <c r="Q23" s="10" t="n">
        <v>0</v>
      </c>
      <c r="R23" s="10" t="n">
        <f aca="false">ROUND(O23*Q23, 2)</f>
        <v>0</v>
      </c>
    </row>
    <row r="24" customFormat="false" ht="13.8" hidden="false" customHeight="false" outlineLevel="0" collapsed="false">
      <c r="A24" s="7" t="s">
        <v>43</v>
      </c>
      <c r="B24" s="8" t="n">
        <v>0.5</v>
      </c>
      <c r="C24" s="8" t="n">
        <v>0</v>
      </c>
      <c r="D24" s="8" t="n">
        <v>6.2</v>
      </c>
      <c r="E24" s="8" t="n">
        <v>113</v>
      </c>
      <c r="F24" s="8" t="n">
        <v>27</v>
      </c>
      <c r="G24" s="8" t="n">
        <v>0</v>
      </c>
      <c r="H24" s="8" t="n">
        <v>0.06</v>
      </c>
      <c r="I24" s="8" t="n">
        <v>0.03</v>
      </c>
      <c r="J24" s="8" t="n">
        <v>0.4</v>
      </c>
      <c r="K24" s="8" t="n">
        <v>8</v>
      </c>
      <c r="L24" s="8" t="n">
        <v>24</v>
      </c>
      <c r="M24" s="8" t="n">
        <v>16</v>
      </c>
      <c r="N24" s="8" t="n">
        <v>2.5</v>
      </c>
      <c r="O24" s="9" t="n">
        <v>1.2</v>
      </c>
      <c r="P24" s="11" t="n">
        <f aca="false">ROUND(O24/10, 2)</f>
        <v>0.12</v>
      </c>
      <c r="Q24" s="10" t="n">
        <v>0</v>
      </c>
      <c r="R24" s="10" t="n">
        <f aca="false">ROUND(O24*Q24, 2)</f>
        <v>0</v>
      </c>
    </row>
    <row r="25" customFormat="false" ht="13.8" hidden="false" customHeight="false" outlineLevel="0" collapsed="false">
      <c r="A25" s="7" t="s">
        <v>44</v>
      </c>
      <c r="B25" s="8" t="n">
        <v>1.3</v>
      </c>
      <c r="C25" s="8" t="n">
        <v>0</v>
      </c>
      <c r="D25" s="8" t="n">
        <v>4.3</v>
      </c>
      <c r="E25" s="8" t="n">
        <v>96</v>
      </c>
      <c r="F25" s="8" t="n">
        <v>23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48</v>
      </c>
      <c r="L25" s="8" t="n">
        <v>80</v>
      </c>
      <c r="M25" s="8" t="n">
        <v>0</v>
      </c>
      <c r="N25" s="8" t="n">
        <v>1</v>
      </c>
      <c r="O25" s="9" t="n">
        <v>10</v>
      </c>
      <c r="P25" s="11" t="n">
        <f aca="false">ROUND(O25/10, 2)</f>
        <v>1</v>
      </c>
      <c r="Q25" s="10" t="n">
        <v>0</v>
      </c>
      <c r="R25" s="10" t="n">
        <f aca="false">ROUND(O25*Q25, 2)</f>
        <v>0</v>
      </c>
    </row>
    <row r="26" customFormat="false" ht="13.8" hidden="false" customHeight="false" outlineLevel="0" collapsed="false">
      <c r="A26" s="7" t="s">
        <v>45</v>
      </c>
      <c r="B26" s="8" t="n">
        <v>2.5</v>
      </c>
      <c r="C26" s="8" t="n">
        <v>0</v>
      </c>
      <c r="D26" s="8" t="n">
        <v>16.3</v>
      </c>
      <c r="E26" s="8" t="n">
        <v>322</v>
      </c>
      <c r="F26" s="8" t="n">
        <v>77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200</v>
      </c>
      <c r="L26" s="8" t="n">
        <v>119</v>
      </c>
      <c r="M26" s="8" t="n">
        <v>70</v>
      </c>
      <c r="N26" s="8" t="n">
        <v>2</v>
      </c>
      <c r="O26" s="9" t="n">
        <v>6</v>
      </c>
      <c r="P26" s="11" t="n">
        <f aca="false">ROUND(O26/10, 2)</f>
        <v>0.6</v>
      </c>
      <c r="Q26" s="10" t="n">
        <v>0</v>
      </c>
      <c r="R26" s="10" t="n">
        <f aca="false">ROUND(O26*Q26, 2)</f>
        <v>0</v>
      </c>
    </row>
    <row r="27" customFormat="false" ht="13.8" hidden="false" customHeight="false" outlineLevel="0" collapsed="false">
      <c r="A27" s="7" t="s">
        <v>46</v>
      </c>
      <c r="B27" s="8" t="n">
        <v>3.7</v>
      </c>
      <c r="C27" s="8" t="n">
        <v>0</v>
      </c>
      <c r="D27" s="8" t="n">
        <v>8.1</v>
      </c>
      <c r="E27" s="8" t="n">
        <v>201</v>
      </c>
      <c r="F27" s="8" t="n">
        <v>48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1500</v>
      </c>
      <c r="L27" s="8" t="n">
        <v>325</v>
      </c>
      <c r="M27" s="8" t="n">
        <v>128</v>
      </c>
      <c r="N27" s="8" t="n">
        <v>8</v>
      </c>
      <c r="O27" s="9" t="n">
        <v>15</v>
      </c>
      <c r="P27" s="11" t="n">
        <f aca="false">ROUND(O27/10, 2)</f>
        <v>1.5</v>
      </c>
      <c r="Q27" s="10" t="n">
        <v>0</v>
      </c>
      <c r="R27" s="10" t="n">
        <f aca="false">ROUND(O27*Q27, 2)</f>
        <v>0</v>
      </c>
    </row>
    <row r="28" customFormat="false" ht="13.8" hidden="false" customHeight="false" outlineLevel="0" collapsed="false">
      <c r="A28" s="7" t="s">
        <v>47</v>
      </c>
      <c r="B28" s="8" t="n">
        <v>3</v>
      </c>
      <c r="C28" s="8" t="n">
        <v>0</v>
      </c>
      <c r="D28" s="8" t="n">
        <v>7.3</v>
      </c>
      <c r="E28" s="8" t="n">
        <v>176</v>
      </c>
      <c r="F28" s="8" t="n">
        <v>42</v>
      </c>
      <c r="G28" s="8" t="n">
        <v>0</v>
      </c>
      <c r="H28" s="8" t="n">
        <v>0.06</v>
      </c>
      <c r="I28" s="8" t="n">
        <v>0.04</v>
      </c>
      <c r="J28" s="8" t="n">
        <v>0.5</v>
      </c>
      <c r="K28" s="8" t="n">
        <v>20</v>
      </c>
      <c r="L28" s="8" t="n">
        <v>80</v>
      </c>
      <c r="M28" s="8" t="n">
        <v>58</v>
      </c>
      <c r="N28" s="8" t="n">
        <v>1</v>
      </c>
      <c r="O28" s="9" t="n">
        <v>2</v>
      </c>
      <c r="P28" s="11" t="n">
        <f aca="false">ROUND(O28/10, 2)</f>
        <v>0.2</v>
      </c>
      <c r="Q28" s="10" t="n">
        <v>0</v>
      </c>
      <c r="R28" s="10" t="n">
        <f aca="false">ROUND(O28*Q28, 2)</f>
        <v>0</v>
      </c>
    </row>
    <row r="29" customFormat="false" ht="13.8" hidden="false" customHeight="false" outlineLevel="0" collapsed="false">
      <c r="A29" s="7" t="s">
        <v>48</v>
      </c>
      <c r="B29" s="8" t="n">
        <v>0.7</v>
      </c>
      <c r="C29" s="8" t="n">
        <v>0</v>
      </c>
      <c r="D29" s="8" t="n">
        <v>2.9</v>
      </c>
      <c r="E29" s="8" t="n">
        <v>88</v>
      </c>
      <c r="F29" s="8" t="n">
        <v>21</v>
      </c>
      <c r="G29" s="8" t="n">
        <v>0</v>
      </c>
      <c r="H29" s="8" t="n">
        <v>0.01</v>
      </c>
      <c r="I29" s="8" t="n">
        <v>0</v>
      </c>
      <c r="J29" s="8" t="n">
        <v>0.1</v>
      </c>
      <c r="K29" s="8" t="n">
        <v>9</v>
      </c>
      <c r="L29" s="8" t="n">
        <v>51</v>
      </c>
      <c r="M29" s="8" t="n">
        <v>25</v>
      </c>
      <c r="N29" s="8" t="n">
        <v>0.5</v>
      </c>
      <c r="O29" s="9" t="n">
        <v>5</v>
      </c>
      <c r="P29" s="11" t="n">
        <f aca="false">ROUND(O29/10, 2)</f>
        <v>0.5</v>
      </c>
      <c r="Q29" s="10" t="n">
        <v>0</v>
      </c>
      <c r="R29" s="10" t="n">
        <f aca="false">ROUND(O29*Q29, 2)</f>
        <v>0</v>
      </c>
    </row>
    <row r="30" customFormat="false" ht="13.8" hidden="false" customHeight="false" outlineLevel="0" collapsed="false">
      <c r="A30" s="7" t="s">
        <v>49</v>
      </c>
      <c r="B30" s="8" t="n">
        <v>1.2</v>
      </c>
      <c r="C30" s="8" t="n">
        <v>0</v>
      </c>
      <c r="D30" s="8" t="n">
        <v>4.1</v>
      </c>
      <c r="E30" s="8" t="n">
        <v>92</v>
      </c>
      <c r="F30" s="8" t="n">
        <v>22</v>
      </c>
      <c r="G30" s="8" t="n">
        <v>0</v>
      </c>
      <c r="H30" s="8" t="n">
        <v>0.03</v>
      </c>
      <c r="I30" s="8" t="n">
        <v>0.02</v>
      </c>
      <c r="J30" s="8" t="n">
        <v>0.3</v>
      </c>
      <c r="K30" s="8" t="n">
        <v>20</v>
      </c>
      <c r="L30" s="8" t="n">
        <v>37</v>
      </c>
      <c r="M30" s="8" t="n">
        <v>27</v>
      </c>
      <c r="N30" s="8" t="n">
        <v>1</v>
      </c>
      <c r="O30" s="9" t="n">
        <v>0.5</v>
      </c>
      <c r="P30" s="11" t="n">
        <f aca="false">ROUND(O30/10, 2)</f>
        <v>0.05</v>
      </c>
      <c r="Q30" s="10" t="n">
        <v>0</v>
      </c>
      <c r="R30" s="10" t="n">
        <f aca="false">ROUND(O30*Q30, 2)</f>
        <v>0</v>
      </c>
    </row>
    <row r="31" customFormat="false" ht="13.8" hidden="false" customHeight="false" outlineLevel="0" collapsed="false">
      <c r="A31" s="7" t="s">
        <v>50</v>
      </c>
      <c r="B31" s="8" t="n">
        <v>1.5</v>
      </c>
      <c r="C31" s="8" t="n">
        <v>0</v>
      </c>
      <c r="D31" s="8" t="n">
        <v>2.2</v>
      </c>
      <c r="E31" s="8" t="n">
        <v>63</v>
      </c>
      <c r="F31" s="8" t="n">
        <v>15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7</v>
      </c>
      <c r="L31" s="8" t="n">
        <v>77</v>
      </c>
      <c r="M31" s="8" t="n">
        <v>34</v>
      </c>
      <c r="N31" s="8" t="n">
        <v>0.9</v>
      </c>
      <c r="O31" s="9" t="n">
        <v>7</v>
      </c>
      <c r="P31" s="11" t="n">
        <f aca="false">ROUND(O31/10, 2)</f>
        <v>0.7</v>
      </c>
      <c r="Q31" s="10" t="n">
        <v>0</v>
      </c>
      <c r="R31" s="10" t="n">
        <f aca="false">ROUND(O31*Q31, 2)</f>
        <v>0</v>
      </c>
    </row>
    <row r="32" customFormat="false" ht="13.8" hidden="false" customHeight="false" outlineLevel="0" collapsed="false">
      <c r="A32" s="7" t="s">
        <v>51</v>
      </c>
      <c r="B32" s="8" t="n">
        <v>3</v>
      </c>
      <c r="C32" s="8" t="n">
        <v>0</v>
      </c>
      <c r="D32" s="8" t="n">
        <v>9.6</v>
      </c>
      <c r="E32" s="8" t="n">
        <v>218</v>
      </c>
      <c r="F32" s="8" t="n">
        <v>52</v>
      </c>
      <c r="G32" s="8" t="n">
        <v>0</v>
      </c>
      <c r="H32" s="8" t="n">
        <v>0.02</v>
      </c>
      <c r="I32" s="8" t="n">
        <v>0.03</v>
      </c>
      <c r="J32" s="8" t="n">
        <v>0.2</v>
      </c>
      <c r="K32" s="8" t="n">
        <v>8</v>
      </c>
      <c r="L32" s="8" t="n">
        <v>38</v>
      </c>
      <c r="M32" s="8" t="n">
        <v>58</v>
      </c>
      <c r="N32" s="8" t="n">
        <v>0.8</v>
      </c>
      <c r="O32" s="9" t="n">
        <v>0.8</v>
      </c>
      <c r="P32" s="11" t="n">
        <f aca="false">ROUND(O32/10, 2)</f>
        <v>0.08</v>
      </c>
      <c r="Q32" s="10" t="n">
        <v>0</v>
      </c>
      <c r="R32" s="10" t="n">
        <f aca="false">ROUND(O32*Q32, 2)</f>
        <v>0</v>
      </c>
    </row>
    <row r="33" customFormat="false" ht="13.8" hidden="false" customHeight="false" outlineLevel="0" collapsed="false">
      <c r="A33" s="7" t="s">
        <v>52</v>
      </c>
      <c r="B33" s="8" t="n">
        <v>2.6</v>
      </c>
      <c r="C33" s="8" t="n">
        <v>0</v>
      </c>
      <c r="D33" s="8" t="n">
        <v>5.3</v>
      </c>
      <c r="E33" s="8" t="n">
        <v>142</v>
      </c>
      <c r="F33" s="8" t="n">
        <v>34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60</v>
      </c>
      <c r="L33" s="8" t="n">
        <v>55</v>
      </c>
      <c r="M33" s="8" t="n">
        <v>37</v>
      </c>
      <c r="N33" s="8" t="n">
        <v>0</v>
      </c>
      <c r="O33" s="9" t="n">
        <v>5</v>
      </c>
      <c r="P33" s="11" t="n">
        <f aca="false">ROUND(O33/10, 2)</f>
        <v>0.5</v>
      </c>
      <c r="Q33" s="10" t="n">
        <v>0</v>
      </c>
      <c r="R33" s="10" t="n">
        <f aca="false">ROUND(O33*Q33, 2)</f>
        <v>0</v>
      </c>
    </row>
    <row r="34" customFormat="false" ht="13.8" hidden="false" customHeight="false" outlineLevel="0" collapsed="false">
      <c r="A34" s="7" t="s">
        <v>53</v>
      </c>
      <c r="B34" s="8" t="n">
        <v>2.9</v>
      </c>
      <c r="C34" s="8" t="n">
        <v>0</v>
      </c>
      <c r="D34" s="8" t="n">
        <v>2.3</v>
      </c>
      <c r="E34" s="8" t="n">
        <v>88</v>
      </c>
      <c r="F34" s="8" t="n">
        <v>21</v>
      </c>
      <c r="G34" s="8" t="n">
        <v>0</v>
      </c>
      <c r="H34" s="8" t="n">
        <v>0.11</v>
      </c>
      <c r="I34" s="8" t="n">
        <v>0.2</v>
      </c>
      <c r="J34" s="8" t="n">
        <v>0.6</v>
      </c>
      <c r="K34" s="8" t="n">
        <v>50</v>
      </c>
      <c r="L34" s="8" t="n">
        <v>81</v>
      </c>
      <c r="M34" s="8" t="n">
        <v>83</v>
      </c>
      <c r="N34" s="8" t="n">
        <v>3</v>
      </c>
      <c r="O34" s="9" t="n">
        <v>10</v>
      </c>
      <c r="P34" s="11" t="n">
        <f aca="false">ROUND(O34/10, 2)</f>
        <v>1</v>
      </c>
      <c r="Q34" s="10" t="n">
        <v>0</v>
      </c>
      <c r="R34" s="10" t="n">
        <f aca="false">ROUND(O34*Q34, 2)</f>
        <v>0</v>
      </c>
    </row>
    <row r="35" customFormat="false" ht="13.8" hidden="false" customHeight="false" outlineLevel="0" collapsed="false">
      <c r="A35" s="7" t="s">
        <v>54</v>
      </c>
      <c r="B35" s="8" t="n">
        <v>0.6</v>
      </c>
      <c r="C35" s="8" t="n">
        <v>0</v>
      </c>
      <c r="D35" s="8" t="n">
        <v>4.2</v>
      </c>
      <c r="E35" s="8" t="n">
        <v>92</v>
      </c>
      <c r="F35" s="8" t="n">
        <v>22</v>
      </c>
      <c r="G35" s="8" t="n">
        <v>0</v>
      </c>
      <c r="H35" s="8" t="n">
        <v>0.06</v>
      </c>
      <c r="I35" s="8" t="n">
        <v>0.04</v>
      </c>
      <c r="J35" s="8" t="n">
        <v>0.5</v>
      </c>
      <c r="K35" s="8" t="n">
        <v>40</v>
      </c>
      <c r="L35" s="8" t="n">
        <v>12</v>
      </c>
      <c r="M35" s="8" t="n">
        <v>26</v>
      </c>
      <c r="N35" s="8" t="n">
        <v>1.4</v>
      </c>
      <c r="O35" s="9" t="n">
        <v>3.2</v>
      </c>
      <c r="P35" s="11" t="n">
        <f aca="false">ROUND(O35/10, 2)</f>
        <v>0.32</v>
      </c>
      <c r="Q35" s="10" t="n">
        <v>0</v>
      </c>
      <c r="R35" s="10" t="n">
        <f aca="false">ROUND(O35*Q35, 2)</f>
        <v>0</v>
      </c>
    </row>
    <row r="36" customFormat="false" ht="13.8" hidden="false" customHeight="false" outlineLevel="0" collapsed="false">
      <c r="A36" s="7" t="s">
        <v>55</v>
      </c>
      <c r="B36" s="8" t="n">
        <v>5</v>
      </c>
      <c r="C36" s="8" t="n">
        <v>0</v>
      </c>
      <c r="D36" s="8" t="n">
        <v>13.3</v>
      </c>
      <c r="E36" s="8" t="n">
        <v>314</v>
      </c>
      <c r="F36" s="8" t="n">
        <v>75</v>
      </c>
      <c r="G36" s="8" t="n">
        <v>0</v>
      </c>
      <c r="H36" s="8" t="n">
        <v>0.34</v>
      </c>
      <c r="I36" s="8" t="n">
        <v>0.19</v>
      </c>
      <c r="J36" s="8" t="n">
        <v>2.6</v>
      </c>
      <c r="K36" s="8" t="n">
        <v>25</v>
      </c>
      <c r="L36" s="8" t="n">
        <v>26</v>
      </c>
      <c r="M36" s="8" t="n">
        <v>122</v>
      </c>
      <c r="N36" s="8" t="n">
        <v>0.7</v>
      </c>
      <c r="O36" s="9" t="n">
        <v>2.5</v>
      </c>
      <c r="P36" s="11" t="n">
        <f aca="false">ROUND(O36/10, 2)</f>
        <v>0.25</v>
      </c>
      <c r="Q36" s="10" t="n">
        <v>0</v>
      </c>
      <c r="R36" s="10" t="n">
        <f aca="false">ROUND(O36*Q36, 2)</f>
        <v>0</v>
      </c>
    </row>
    <row r="37" customFormat="false" ht="13.8" hidden="false" customHeight="false" outlineLevel="0" collapsed="false">
      <c r="A37" s="7" t="s">
        <v>56</v>
      </c>
      <c r="B37" s="8" t="n">
        <v>0.4</v>
      </c>
      <c r="C37" s="8" t="n">
        <v>0</v>
      </c>
      <c r="D37" s="8" t="n">
        <v>11.3</v>
      </c>
      <c r="E37" s="8" t="n">
        <v>214</v>
      </c>
      <c r="F37" s="8" t="n">
        <v>51</v>
      </c>
      <c r="G37" s="8" t="n">
        <v>0</v>
      </c>
      <c r="H37" s="8" t="n">
        <v>0.04</v>
      </c>
      <c r="I37" s="8" t="n">
        <v>0.03</v>
      </c>
      <c r="J37" s="8" t="n">
        <v>0.2</v>
      </c>
      <c r="K37" s="8" t="n">
        <v>7</v>
      </c>
      <c r="L37" s="8" t="n">
        <v>19</v>
      </c>
      <c r="M37" s="8" t="n">
        <v>13</v>
      </c>
      <c r="N37" s="8" t="n">
        <v>2.5</v>
      </c>
      <c r="O37" s="9" t="n">
        <v>1</v>
      </c>
      <c r="P37" s="11" t="n">
        <f aca="false">ROUND(O37/10, 2)</f>
        <v>0.1</v>
      </c>
      <c r="Q37" s="10" t="n">
        <v>0</v>
      </c>
      <c r="R37" s="10" t="n">
        <f aca="false">ROUND(O37*Q37, 2)</f>
        <v>0</v>
      </c>
    </row>
    <row r="38" customFormat="false" ht="13.8" hidden="false" customHeight="false" outlineLevel="0" collapsed="false">
      <c r="A38" s="7" t="s">
        <v>57</v>
      </c>
      <c r="B38" s="8" t="n">
        <v>2</v>
      </c>
      <c r="C38" s="8" t="n">
        <v>0</v>
      </c>
      <c r="D38" s="8" t="n">
        <v>67.2</v>
      </c>
      <c r="E38" s="8" t="n">
        <v>1230</v>
      </c>
      <c r="F38" s="8" t="n">
        <v>293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111</v>
      </c>
      <c r="M38" s="8" t="n">
        <v>77</v>
      </c>
      <c r="N38" s="8" t="n">
        <v>14.8</v>
      </c>
      <c r="O38" s="9" t="n">
        <v>15</v>
      </c>
      <c r="P38" s="11" t="n">
        <f aca="false">ROUND(O38/10, 2)</f>
        <v>1.5</v>
      </c>
      <c r="Q38" s="10" t="n">
        <v>0</v>
      </c>
      <c r="R38" s="10" t="n">
        <f aca="false">ROUND(O38*Q38, 2)</f>
        <v>0</v>
      </c>
    </row>
    <row r="39" customFormat="false" ht="13.8" hidden="false" customHeight="false" outlineLevel="0" collapsed="false">
      <c r="A39" s="7" t="s">
        <v>58</v>
      </c>
      <c r="B39" s="8" t="n">
        <v>0.9</v>
      </c>
      <c r="C39" s="8" t="n">
        <v>0</v>
      </c>
      <c r="D39" s="8" t="n">
        <v>8.4</v>
      </c>
      <c r="E39" s="8" t="n">
        <v>180</v>
      </c>
      <c r="F39" s="8" t="n">
        <v>43</v>
      </c>
      <c r="G39" s="8" t="n">
        <v>0</v>
      </c>
      <c r="H39" s="8" t="n">
        <v>0.08</v>
      </c>
      <c r="I39" s="8" t="n">
        <v>0.03</v>
      </c>
      <c r="J39" s="8" t="n">
        <v>0.2</v>
      </c>
      <c r="K39" s="8" t="n">
        <v>40</v>
      </c>
      <c r="L39" s="8" t="n">
        <v>34</v>
      </c>
      <c r="M39" s="8" t="n">
        <v>23</v>
      </c>
      <c r="N39" s="8" t="n">
        <v>0.4</v>
      </c>
      <c r="O39" s="9" t="n">
        <v>1.95</v>
      </c>
      <c r="P39" s="11" t="n">
        <f aca="false">ROUND(O39/10, 2)</f>
        <v>0.2</v>
      </c>
      <c r="Q39" s="10" t="n">
        <v>0</v>
      </c>
      <c r="R39" s="10" t="n">
        <f aca="false">ROUND(O39*Q39, 2)</f>
        <v>0</v>
      </c>
    </row>
    <row r="40" customFormat="false" ht="13.8" hidden="false" customHeight="false" outlineLevel="0" collapsed="false">
      <c r="A40" s="7" t="s">
        <v>59</v>
      </c>
      <c r="B40" s="8" t="n">
        <v>0.9</v>
      </c>
      <c r="C40" s="8" t="n">
        <v>0</v>
      </c>
      <c r="D40" s="8" t="n">
        <v>10.5</v>
      </c>
      <c r="E40" s="8" t="n">
        <v>218</v>
      </c>
      <c r="F40" s="8" t="n">
        <v>52</v>
      </c>
      <c r="G40" s="8" t="n">
        <v>0</v>
      </c>
      <c r="H40" s="8" t="n">
        <v>0.04</v>
      </c>
      <c r="I40" s="8" t="n">
        <v>0.06</v>
      </c>
      <c r="J40" s="8" t="n">
        <v>0.7</v>
      </c>
      <c r="K40" s="8" t="n">
        <v>7</v>
      </c>
      <c r="L40" s="8" t="n">
        <v>28</v>
      </c>
      <c r="M40" s="8" t="n">
        <v>26</v>
      </c>
      <c r="N40" s="8" t="n">
        <v>2.1</v>
      </c>
      <c r="O40" s="9" t="n">
        <v>4.5</v>
      </c>
      <c r="P40" s="11" t="n">
        <f aca="false">ROUND(O40/10, 2)</f>
        <v>0.45</v>
      </c>
      <c r="Q40" s="10" t="n">
        <v>0</v>
      </c>
      <c r="R40" s="10" t="n">
        <f aca="false">ROUND(O40*Q40, 2)</f>
        <v>0</v>
      </c>
    </row>
    <row r="41" customFormat="false" ht="13.8" hidden="false" customHeight="false" outlineLevel="0" collapsed="false">
      <c r="A41" s="7" t="s">
        <v>60</v>
      </c>
      <c r="B41" s="8" t="n">
        <v>5</v>
      </c>
      <c r="C41" s="8" t="n">
        <v>0</v>
      </c>
      <c r="D41" s="8" t="n">
        <v>69.5</v>
      </c>
      <c r="E41" s="8" t="n">
        <v>1310</v>
      </c>
      <c r="F41" s="8" t="n">
        <v>314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166</v>
      </c>
      <c r="M41" s="8" t="n">
        <v>152</v>
      </c>
      <c r="N41" s="8" t="n">
        <v>12.3</v>
      </c>
      <c r="O41" s="9" t="n">
        <v>12</v>
      </c>
      <c r="P41" s="11" t="n">
        <f aca="false">ROUND(O41/10, 2)</f>
        <v>1.2</v>
      </c>
      <c r="Q41" s="10" t="n">
        <v>0</v>
      </c>
      <c r="R41" s="10" t="n">
        <f aca="false">ROUND(O41*Q41, 2)</f>
        <v>0</v>
      </c>
    </row>
    <row r="42" customFormat="false" ht="13.8" hidden="false" customHeight="false" outlineLevel="0" collapsed="false">
      <c r="A42" s="7" t="s">
        <v>61</v>
      </c>
      <c r="B42" s="8" t="n">
        <v>0.8</v>
      </c>
      <c r="C42" s="8" t="n">
        <v>0</v>
      </c>
      <c r="D42" s="8" t="n">
        <v>6.5</v>
      </c>
      <c r="E42" s="8" t="n">
        <v>155</v>
      </c>
      <c r="F42" s="8" t="n">
        <v>37</v>
      </c>
      <c r="G42" s="8" t="n">
        <v>0</v>
      </c>
      <c r="H42" s="8" t="n">
        <v>0.02</v>
      </c>
      <c r="I42" s="8" t="n">
        <v>0.07</v>
      </c>
      <c r="J42" s="8" t="n">
        <v>0</v>
      </c>
      <c r="K42" s="8" t="n">
        <v>30</v>
      </c>
      <c r="L42" s="8" t="n">
        <v>40</v>
      </c>
      <c r="M42" s="8" t="n">
        <v>37</v>
      </c>
      <c r="N42" s="8" t="n">
        <v>0.9</v>
      </c>
      <c r="O42" s="9" t="n">
        <v>13</v>
      </c>
      <c r="P42" s="11" t="n">
        <f aca="false">ROUND(O42/10, 2)</f>
        <v>1.3</v>
      </c>
      <c r="Q42" s="10" t="n">
        <v>0</v>
      </c>
      <c r="R42" s="10" t="n">
        <f aca="false">ROUND(O42*Q42, 2)</f>
        <v>0</v>
      </c>
    </row>
    <row r="43" customFormat="false" ht="13.8" hidden="false" customHeight="false" outlineLevel="0" collapsed="false">
      <c r="A43" s="7" t="s">
        <v>62</v>
      </c>
      <c r="B43" s="8" t="n">
        <v>0.7</v>
      </c>
      <c r="C43" s="8" t="n">
        <v>0</v>
      </c>
      <c r="D43" s="8" t="n">
        <v>8.6</v>
      </c>
      <c r="E43" s="8" t="n">
        <v>193</v>
      </c>
      <c r="F43" s="8" t="n">
        <v>46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15</v>
      </c>
      <c r="L43" s="8" t="n">
        <v>40</v>
      </c>
      <c r="M43" s="8" t="n">
        <v>16</v>
      </c>
      <c r="N43" s="8" t="n">
        <v>0.4</v>
      </c>
      <c r="O43" s="9" t="n">
        <v>7</v>
      </c>
      <c r="P43" s="11" t="n">
        <f aca="false">ROUND(O43/10, 2)</f>
        <v>0.7</v>
      </c>
      <c r="Q43" s="10" t="n">
        <v>0</v>
      </c>
      <c r="R43" s="10" t="n">
        <f aca="false">ROUND(O43*Q43, 2)</f>
        <v>0</v>
      </c>
    </row>
    <row r="44" customFormat="false" ht="13.8" hidden="false" customHeight="false" outlineLevel="0" collapsed="false">
      <c r="A44" s="7" t="s">
        <v>63</v>
      </c>
      <c r="B44" s="8" t="n">
        <v>0.4</v>
      </c>
      <c r="C44" s="8" t="n">
        <v>0</v>
      </c>
      <c r="D44" s="8" t="n">
        <v>10.7</v>
      </c>
      <c r="E44" s="8" t="n">
        <v>197</v>
      </c>
      <c r="F44" s="8" t="n">
        <v>47</v>
      </c>
      <c r="G44" s="8" t="n">
        <v>0</v>
      </c>
      <c r="H44" s="8" t="n">
        <v>0.02</v>
      </c>
      <c r="I44" s="8" t="n">
        <v>0.04</v>
      </c>
      <c r="J44" s="8" t="n">
        <v>0.1</v>
      </c>
      <c r="K44" s="8" t="n">
        <v>4</v>
      </c>
      <c r="L44" s="8" t="n">
        <v>19</v>
      </c>
      <c r="M44" s="8" t="n">
        <v>16</v>
      </c>
      <c r="N44" s="8" t="n">
        <v>2.3</v>
      </c>
      <c r="O44" s="9" t="n">
        <v>2.2</v>
      </c>
      <c r="P44" s="11" t="n">
        <f aca="false">ROUND(O44/10, 2)</f>
        <v>0.22</v>
      </c>
      <c r="Q44" s="10" t="n">
        <v>0</v>
      </c>
      <c r="R44" s="10" t="n">
        <f aca="false">ROUND(O44*Q44, 2)</f>
        <v>0</v>
      </c>
    </row>
    <row r="45" customFormat="false" ht="13.8" hidden="false" customHeight="false" outlineLevel="0" collapsed="false">
      <c r="A45" s="7" t="s">
        <v>64</v>
      </c>
      <c r="B45" s="8" t="n">
        <v>0.9</v>
      </c>
      <c r="C45" s="8" t="n">
        <v>0</v>
      </c>
      <c r="D45" s="8" t="n">
        <v>3.6</v>
      </c>
      <c r="E45" s="8" t="n">
        <v>180</v>
      </c>
      <c r="F45" s="8" t="n">
        <v>43</v>
      </c>
      <c r="G45" s="8" t="n">
        <v>0</v>
      </c>
      <c r="H45" s="8" t="n">
        <v>0.04</v>
      </c>
      <c r="I45" s="8" t="n">
        <v>0</v>
      </c>
      <c r="J45" s="8" t="n">
        <v>0.1</v>
      </c>
      <c r="K45" s="8" t="n">
        <v>40</v>
      </c>
      <c r="L45" s="8" t="n">
        <v>40</v>
      </c>
      <c r="M45" s="8" t="n">
        <v>22</v>
      </c>
      <c r="N45" s="8" t="n">
        <v>0.6</v>
      </c>
      <c r="O45" s="9" t="n">
        <v>2.1</v>
      </c>
      <c r="P45" s="11" t="n">
        <f aca="false">ROUND(O45/10, 2)</f>
        <v>0.21</v>
      </c>
      <c r="Q45" s="10" t="n">
        <v>0</v>
      </c>
      <c r="R45" s="10" t="n">
        <f aca="false">ROUND(O45*Q45, 2)</f>
        <v>0</v>
      </c>
    </row>
    <row r="46" customFormat="false" ht="13.8" hidden="false" customHeight="false" outlineLevel="0" collapsed="false">
      <c r="A46" s="7" t="s">
        <v>65</v>
      </c>
      <c r="B46" s="8" t="n">
        <v>0.5</v>
      </c>
      <c r="C46" s="8" t="n">
        <v>0</v>
      </c>
      <c r="D46" s="8" t="n">
        <v>4.8</v>
      </c>
      <c r="E46" s="8" t="n">
        <v>142</v>
      </c>
      <c r="F46" s="8" t="n">
        <v>34</v>
      </c>
      <c r="G46" s="8" t="n">
        <v>0</v>
      </c>
      <c r="H46" s="8" t="n">
        <v>0.03</v>
      </c>
      <c r="I46" s="8" t="n">
        <v>0.02</v>
      </c>
      <c r="J46" s="8" t="n">
        <v>0.1</v>
      </c>
      <c r="K46" s="8" t="n">
        <v>10</v>
      </c>
      <c r="L46" s="8" t="n">
        <v>14</v>
      </c>
      <c r="M46" s="8" t="n">
        <v>11</v>
      </c>
      <c r="N46" s="8" t="n">
        <v>0.6</v>
      </c>
      <c r="O46" s="9" t="n">
        <v>8.5</v>
      </c>
      <c r="P46" s="11" t="n">
        <f aca="false">ROUND(O46/10, 2)</f>
        <v>0.85</v>
      </c>
      <c r="Q46" s="10" t="n">
        <v>0</v>
      </c>
      <c r="R46" s="10" t="n">
        <f aca="false">ROUND(O46*Q46, 2)</f>
        <v>0</v>
      </c>
    </row>
    <row r="47" customFormat="false" ht="13.8" hidden="false" customHeight="false" outlineLevel="0" collapsed="false">
      <c r="A47" s="7" t="s">
        <v>66</v>
      </c>
      <c r="B47" s="8" t="n">
        <v>0.7</v>
      </c>
      <c r="C47" s="8" t="n">
        <v>0</v>
      </c>
      <c r="D47" s="8" t="n">
        <v>9.9</v>
      </c>
      <c r="E47" s="8" t="n">
        <v>214</v>
      </c>
      <c r="F47" s="8" t="n">
        <v>51</v>
      </c>
      <c r="G47" s="8" t="n">
        <v>0</v>
      </c>
      <c r="H47" s="8" t="n">
        <v>0.04</v>
      </c>
      <c r="I47" s="8" t="n">
        <v>0.02</v>
      </c>
      <c r="J47" s="8" t="n">
        <v>0.1</v>
      </c>
      <c r="K47" s="8" t="n">
        <v>50</v>
      </c>
      <c r="L47" s="8" t="n">
        <v>22</v>
      </c>
      <c r="M47" s="8" t="n">
        <v>28</v>
      </c>
      <c r="N47" s="8" t="n">
        <v>0.5</v>
      </c>
      <c r="O47" s="9" t="n">
        <v>6</v>
      </c>
      <c r="P47" s="11" t="n">
        <f aca="false">ROUND(O47/10, 2)</f>
        <v>0.6</v>
      </c>
      <c r="Q47" s="10" t="n">
        <v>0</v>
      </c>
      <c r="R47" s="10" t="n">
        <f aca="false">ROUND(O47*Q47, 2)</f>
        <v>0</v>
      </c>
    </row>
    <row r="48" customFormat="false" ht="13.8" hidden="false" customHeight="false" outlineLevel="0" collapsed="false">
      <c r="A48" s="7" t="s">
        <v>67</v>
      </c>
      <c r="B48" s="8" t="n">
        <v>0.3</v>
      </c>
      <c r="C48" s="8" t="n">
        <v>0</v>
      </c>
      <c r="D48" s="8" t="n">
        <v>8.7</v>
      </c>
      <c r="E48" s="8" t="n">
        <v>188</v>
      </c>
      <c r="F48" s="8" t="n">
        <v>45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5</v>
      </c>
      <c r="L48" s="8" t="n">
        <v>36</v>
      </c>
      <c r="M48" s="8" t="n">
        <v>0</v>
      </c>
      <c r="N48" s="8" t="n">
        <v>0</v>
      </c>
      <c r="O48" s="9" t="n">
        <v>6</v>
      </c>
      <c r="P48" s="11" t="n">
        <f aca="false">ROUND(O48/10, 2)</f>
        <v>0.6</v>
      </c>
      <c r="Q48" s="10" t="n">
        <v>0</v>
      </c>
      <c r="R48" s="10" t="n">
        <f aca="false">ROUND(O48*Q48, 2)</f>
        <v>0</v>
      </c>
    </row>
    <row r="49" customFormat="false" ht="13.8" hidden="false" customHeight="false" outlineLevel="0" collapsed="false">
      <c r="A49" s="7" t="s">
        <v>68</v>
      </c>
      <c r="B49" s="8" t="n">
        <v>0.6</v>
      </c>
      <c r="C49" s="8" t="n">
        <v>0</v>
      </c>
      <c r="D49" s="8" t="n">
        <v>8</v>
      </c>
      <c r="E49" s="8" t="n">
        <v>197</v>
      </c>
      <c r="F49" s="8" t="n">
        <v>47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30</v>
      </c>
      <c r="L49" s="8" t="n">
        <v>36</v>
      </c>
      <c r="M49" s="8" t="n">
        <v>33</v>
      </c>
      <c r="N49" s="8" t="n">
        <v>0.9</v>
      </c>
      <c r="O49" s="9" t="n">
        <v>7</v>
      </c>
      <c r="P49" s="11" t="n">
        <f aca="false">ROUND(O49/10, 2)</f>
        <v>0.7</v>
      </c>
      <c r="Q49" s="10" t="n">
        <v>0</v>
      </c>
      <c r="R49" s="10" t="n">
        <f aca="false">ROUND(O49*Q49, 2)</f>
        <v>0</v>
      </c>
    </row>
    <row r="50" customFormat="false" ht="13.8" hidden="false" customHeight="false" outlineLevel="0" collapsed="false">
      <c r="A50" s="7" t="s">
        <v>69</v>
      </c>
      <c r="B50" s="8" t="n">
        <v>0.8</v>
      </c>
      <c r="C50" s="8" t="n">
        <v>0</v>
      </c>
      <c r="D50" s="8" t="n">
        <v>11.3</v>
      </c>
      <c r="E50" s="8" t="n">
        <v>222</v>
      </c>
      <c r="F50" s="8" t="n">
        <v>53</v>
      </c>
      <c r="G50" s="8" t="n">
        <v>0</v>
      </c>
      <c r="H50" s="8" t="n">
        <v>0.05</v>
      </c>
      <c r="I50" s="8" t="n">
        <v>0.06</v>
      </c>
      <c r="J50" s="8" t="n">
        <v>0.4</v>
      </c>
      <c r="K50" s="8" t="n">
        <v>15</v>
      </c>
      <c r="L50" s="8" t="n">
        <v>37</v>
      </c>
      <c r="M50" s="8" t="n">
        <v>30</v>
      </c>
      <c r="N50" s="8" t="n">
        <v>1.4</v>
      </c>
      <c r="O50" s="9" t="n">
        <v>10</v>
      </c>
      <c r="P50" s="11" t="n">
        <f aca="false">ROUND(O50/10, 2)</f>
        <v>1</v>
      </c>
      <c r="Q50" s="10" t="n">
        <v>0</v>
      </c>
      <c r="R50" s="10" t="n">
        <f aca="false">ROUND(O50*Q50, 2)</f>
        <v>0</v>
      </c>
    </row>
    <row r="51" customFormat="false" ht="13.8" hidden="false" customHeight="false" outlineLevel="0" collapsed="false">
      <c r="A51" s="7" t="s">
        <v>70</v>
      </c>
      <c r="B51" s="8" t="n">
        <v>0.8</v>
      </c>
      <c r="C51" s="8" t="n">
        <v>0</v>
      </c>
      <c r="D51" s="8" t="n">
        <v>8.6</v>
      </c>
      <c r="E51" s="8" t="n">
        <v>180</v>
      </c>
      <c r="F51" s="8" t="n">
        <v>43</v>
      </c>
      <c r="G51" s="8" t="n">
        <v>0</v>
      </c>
      <c r="H51" s="8" t="n">
        <v>0.08</v>
      </c>
      <c r="I51" s="8" t="n">
        <v>0.03</v>
      </c>
      <c r="J51" s="8" t="n">
        <v>0.2</v>
      </c>
      <c r="K51" s="8" t="n">
        <v>30</v>
      </c>
      <c r="L51" s="8" t="n">
        <v>35</v>
      </c>
      <c r="M51" s="8" t="n">
        <v>17</v>
      </c>
      <c r="N51" s="8" t="n">
        <v>0.4</v>
      </c>
      <c r="O51" s="9" t="n">
        <v>2</v>
      </c>
      <c r="P51" s="11" t="n">
        <f aca="false">ROUND(O51/10, 2)</f>
        <v>0.2</v>
      </c>
      <c r="Q51" s="10" t="n">
        <v>0</v>
      </c>
      <c r="R51" s="10" t="n">
        <f aca="false">ROUND(O51*Q51, 2)</f>
        <v>0</v>
      </c>
    </row>
    <row r="52" customFormat="false" ht="13.8" hidden="false" customHeight="false" outlineLevel="0" collapsed="false">
      <c r="A52" s="7" t="s">
        <v>71</v>
      </c>
      <c r="B52" s="8" t="n">
        <v>1.1</v>
      </c>
      <c r="C52" s="8" t="n">
        <v>0</v>
      </c>
      <c r="D52" s="8" t="n">
        <v>8.6</v>
      </c>
      <c r="E52" s="8" t="n">
        <v>188</v>
      </c>
      <c r="F52" s="8" t="n">
        <v>45</v>
      </c>
      <c r="G52" s="8" t="n">
        <v>0</v>
      </c>
      <c r="H52" s="8" t="n">
        <v>0.02</v>
      </c>
      <c r="I52" s="8" t="n">
        <v>0.02</v>
      </c>
      <c r="J52" s="8" t="n">
        <v>0.3</v>
      </c>
      <c r="K52" s="8" t="n">
        <v>5</v>
      </c>
      <c r="L52" s="8" t="n">
        <v>16</v>
      </c>
      <c r="M52" s="8" t="n">
        <v>13</v>
      </c>
      <c r="N52" s="8" t="n">
        <v>0.8</v>
      </c>
      <c r="O52" s="9" t="n">
        <v>14</v>
      </c>
      <c r="P52" s="11" t="n">
        <f aca="false">ROUND(O52/10, 2)</f>
        <v>1.4</v>
      </c>
      <c r="Q52" s="10" t="n">
        <v>0</v>
      </c>
      <c r="R52" s="10" t="n">
        <f aca="false">ROUND(O52*Q52, 2)</f>
        <v>0</v>
      </c>
    </row>
    <row r="53" customFormat="false" ht="13.8" hidden="false" customHeight="false" outlineLevel="0" collapsed="false">
      <c r="A53" s="7" t="s">
        <v>72</v>
      </c>
      <c r="B53" s="8" t="n">
        <v>0.8</v>
      </c>
      <c r="C53" s="8" t="n">
        <v>0</v>
      </c>
      <c r="D53" s="8" t="n">
        <v>9.9</v>
      </c>
      <c r="E53" s="8" t="n">
        <v>205</v>
      </c>
      <c r="F53" s="8" t="n">
        <v>49</v>
      </c>
      <c r="G53" s="8" t="n">
        <v>0</v>
      </c>
      <c r="H53" s="8" t="n">
        <v>0.06</v>
      </c>
      <c r="I53" s="8" t="n">
        <v>0.04</v>
      </c>
      <c r="J53" s="8" t="n">
        <v>0.5</v>
      </c>
      <c r="K53" s="8" t="n">
        <v>5</v>
      </c>
      <c r="L53" s="8" t="n">
        <v>28</v>
      </c>
      <c r="M53" s="8" t="n">
        <v>27</v>
      </c>
      <c r="N53" s="8" t="n">
        <v>2.1</v>
      </c>
      <c r="O53" s="9" t="n">
        <v>5</v>
      </c>
      <c r="P53" s="11" t="n">
        <f aca="false">ROUND(O53/10, 2)</f>
        <v>0.5</v>
      </c>
      <c r="Q53" s="10" t="n">
        <v>0</v>
      </c>
      <c r="R53" s="10" t="n">
        <f aca="false">ROUND(O53*Q53, 2)</f>
        <v>0</v>
      </c>
    </row>
    <row r="54" customFormat="false" ht="13.8" hidden="false" customHeight="false" outlineLevel="0" collapsed="false">
      <c r="A54" s="7" t="s">
        <v>73</v>
      </c>
      <c r="B54" s="8" t="n">
        <v>2.3</v>
      </c>
      <c r="C54" s="8" t="n">
        <v>0</v>
      </c>
      <c r="D54" s="8" t="n">
        <v>65.1</v>
      </c>
      <c r="E54" s="8" t="n">
        <v>1220</v>
      </c>
      <c r="F54" s="8" t="n">
        <v>291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80</v>
      </c>
      <c r="M54" s="8" t="n">
        <v>83</v>
      </c>
      <c r="N54" s="8" t="n">
        <v>3</v>
      </c>
      <c r="O54" s="9" t="n">
        <v>8.5</v>
      </c>
      <c r="P54" s="11" t="n">
        <f aca="false">ROUND(O54/10, 2)</f>
        <v>0.85</v>
      </c>
      <c r="Q54" s="10" t="n">
        <v>0</v>
      </c>
      <c r="R54" s="10" t="n">
        <f aca="false">ROUND(O54*Q54, 2)</f>
        <v>0</v>
      </c>
    </row>
    <row r="55" customFormat="false" ht="13.8" hidden="false" customHeight="false" outlineLevel="0" collapsed="false">
      <c r="A55" s="7" t="s">
        <v>74</v>
      </c>
      <c r="B55" s="8" t="n">
        <v>0.8</v>
      </c>
      <c r="C55" s="8" t="n">
        <v>0</v>
      </c>
      <c r="D55" s="8" t="n">
        <v>8</v>
      </c>
      <c r="E55" s="8" t="n">
        <v>188</v>
      </c>
      <c r="F55" s="8" t="n">
        <v>45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300</v>
      </c>
      <c r="L55" s="8" t="n">
        <v>36</v>
      </c>
      <c r="M55" s="8" t="n">
        <v>43</v>
      </c>
      <c r="N55" s="8" t="n">
        <v>0.9</v>
      </c>
      <c r="O55" s="9" t="n">
        <v>7</v>
      </c>
      <c r="P55" s="11" t="n">
        <f aca="false">ROUND(O55/10, 2)</f>
        <v>0.7</v>
      </c>
      <c r="Q55" s="10" t="n">
        <v>0</v>
      </c>
      <c r="R55" s="10" t="n">
        <f aca="false">ROUND(O55*Q55, 2)</f>
        <v>0</v>
      </c>
    </row>
    <row r="56" customFormat="false" ht="13.8" hidden="false" customHeight="false" outlineLevel="0" collapsed="false">
      <c r="A56" s="7" t="s">
        <v>75</v>
      </c>
      <c r="B56" s="8" t="n">
        <v>0.4</v>
      </c>
      <c r="C56" s="8" t="n">
        <v>0</v>
      </c>
      <c r="D56" s="8" t="n">
        <v>16.5</v>
      </c>
      <c r="E56" s="8" t="n">
        <v>306</v>
      </c>
      <c r="F56" s="8" t="n">
        <v>73</v>
      </c>
      <c r="G56" s="8" t="n">
        <v>0</v>
      </c>
      <c r="H56" s="8" t="n">
        <v>0.06</v>
      </c>
      <c r="I56" s="8" t="n">
        <v>0.04</v>
      </c>
      <c r="J56" s="8" t="n">
        <v>0.2</v>
      </c>
      <c r="K56" s="8" t="n">
        <v>3</v>
      </c>
      <c r="L56" s="8" t="n">
        <v>17</v>
      </c>
      <c r="M56" s="8" t="n">
        <v>22</v>
      </c>
      <c r="N56" s="8" t="n">
        <v>0.6</v>
      </c>
      <c r="O56" s="9" t="n">
        <v>3</v>
      </c>
      <c r="P56" s="11" t="n">
        <f aca="false">ROUND(O56/10, 2)</f>
        <v>0.3</v>
      </c>
      <c r="Q56" s="10" t="n">
        <v>0</v>
      </c>
      <c r="R56" s="10" t="n">
        <f aca="false">ROUND(O56*Q56, 2)</f>
        <v>0</v>
      </c>
    </row>
    <row r="57" customFormat="false" ht="13.8" hidden="false" customHeight="false" outlineLevel="0" collapsed="false">
      <c r="A57" s="7" t="s">
        <v>76</v>
      </c>
      <c r="B57" s="8" t="n">
        <v>1.8</v>
      </c>
      <c r="C57" s="8" t="n">
        <v>0</v>
      </c>
      <c r="D57" s="8" t="n">
        <v>8.1</v>
      </c>
      <c r="E57" s="8" t="n">
        <v>193</v>
      </c>
      <c r="F57" s="8" t="n">
        <v>46</v>
      </c>
      <c r="G57" s="8" t="n">
        <v>0</v>
      </c>
      <c r="H57" s="8" t="n">
        <v>0.03</v>
      </c>
      <c r="I57" s="8" t="n">
        <v>0.06</v>
      </c>
      <c r="J57" s="8" t="n">
        <v>0.3</v>
      </c>
      <c r="K57" s="8" t="n">
        <v>60</v>
      </c>
      <c r="L57" s="8" t="n">
        <v>22</v>
      </c>
      <c r="M57" s="8" t="n">
        <v>23</v>
      </c>
      <c r="N57" s="8" t="n">
        <v>0.7</v>
      </c>
      <c r="O57" s="9" t="n">
        <v>9</v>
      </c>
      <c r="P57" s="11" t="n">
        <f aca="false">ROUND(O57/10, 2)</f>
        <v>0.9</v>
      </c>
      <c r="Q57" s="10" t="n">
        <v>0</v>
      </c>
      <c r="R57" s="10" t="n">
        <f aca="false">ROUND(O57*Q57, 2)</f>
        <v>0</v>
      </c>
    </row>
    <row r="58" customFormat="false" ht="13.8" hidden="false" customHeight="false" outlineLevel="0" collapsed="false">
      <c r="A58" s="7" t="s">
        <v>77</v>
      </c>
      <c r="B58" s="8" t="n">
        <v>19</v>
      </c>
      <c r="C58" s="8" t="n">
        <v>58</v>
      </c>
      <c r="D58" s="8" t="n">
        <v>9</v>
      </c>
      <c r="E58" s="8" t="n">
        <v>2740</v>
      </c>
      <c r="F58" s="8" t="n">
        <v>654</v>
      </c>
      <c r="G58" s="8" t="n">
        <v>0</v>
      </c>
      <c r="H58" s="8" t="n">
        <v>0.84</v>
      </c>
      <c r="I58" s="8" t="n">
        <v>0.12</v>
      </c>
      <c r="J58" s="8" t="n">
        <v>16</v>
      </c>
      <c r="K58" s="8" t="n">
        <v>0</v>
      </c>
      <c r="L58" s="8" t="n">
        <v>44</v>
      </c>
      <c r="M58" s="8" t="n">
        <v>230</v>
      </c>
      <c r="N58" s="8" t="n">
        <v>1</v>
      </c>
      <c r="O58" s="9" t="n">
        <v>26</v>
      </c>
      <c r="P58" s="11" t="n">
        <f aca="false">ROUND(O58/10, 2)</f>
        <v>2.6</v>
      </c>
      <c r="Q58" s="10" t="n">
        <v>0</v>
      </c>
      <c r="R58" s="10" t="n">
        <f aca="false">ROUND(O58*Q58, 2)</f>
        <v>0</v>
      </c>
    </row>
    <row r="59" customFormat="false" ht="13.8" hidden="false" customHeight="false" outlineLevel="0" collapsed="false">
      <c r="A59" s="7" t="s">
        <v>78</v>
      </c>
      <c r="B59" s="8" t="n">
        <v>21</v>
      </c>
      <c r="C59" s="8" t="n">
        <v>55</v>
      </c>
      <c r="D59" s="8" t="n">
        <v>10</v>
      </c>
      <c r="E59" s="8" t="n">
        <v>2670</v>
      </c>
      <c r="F59" s="8" t="n">
        <v>639</v>
      </c>
      <c r="G59" s="8" t="n">
        <v>0</v>
      </c>
      <c r="H59" s="8" t="n">
        <v>0.25</v>
      </c>
      <c r="I59" s="8" t="n">
        <v>0.67</v>
      </c>
      <c r="J59" s="8" t="n">
        <v>4.6</v>
      </c>
      <c r="K59" s="8" t="n">
        <v>0</v>
      </c>
      <c r="L59" s="8" t="n">
        <v>247</v>
      </c>
      <c r="M59" s="8" t="n">
        <v>442</v>
      </c>
      <c r="N59" s="8" t="n">
        <v>4.2</v>
      </c>
      <c r="O59" s="9" t="n">
        <v>10</v>
      </c>
      <c r="P59" s="11" t="n">
        <f aca="false">ROUND(O59/10, 2)</f>
        <v>1</v>
      </c>
      <c r="Q59" s="10" t="n">
        <v>0</v>
      </c>
      <c r="R59" s="10" t="n">
        <f aca="false">ROUND(O59*Q59, 2)</f>
        <v>0</v>
      </c>
    </row>
    <row r="60" customFormat="false" ht="13.8" hidden="false" customHeight="false" outlineLevel="0" collapsed="false">
      <c r="A60" s="7" t="s">
        <v>79</v>
      </c>
      <c r="B60" s="8" t="n">
        <v>18</v>
      </c>
      <c r="C60" s="8" t="n">
        <v>59</v>
      </c>
      <c r="D60" s="8" t="n">
        <v>8.7</v>
      </c>
      <c r="E60" s="8" t="n">
        <v>2750</v>
      </c>
      <c r="F60" s="8" t="n">
        <v>658</v>
      </c>
      <c r="G60" s="8" t="n">
        <v>0</v>
      </c>
      <c r="H60" s="8" t="n">
        <v>0.48</v>
      </c>
      <c r="I60" s="8" t="n">
        <v>0.13</v>
      </c>
      <c r="J60" s="8" t="n">
        <v>1.2</v>
      </c>
      <c r="K60" s="8" t="n">
        <v>3</v>
      </c>
      <c r="L60" s="8" t="n">
        <v>61</v>
      </c>
      <c r="M60" s="8" t="n">
        <v>510</v>
      </c>
      <c r="N60" s="8" t="n">
        <v>2.3</v>
      </c>
      <c r="O60" s="9" t="n">
        <v>12</v>
      </c>
      <c r="P60" s="11" t="n">
        <f aca="false">ROUND(O60/10, 2)</f>
        <v>1.2</v>
      </c>
      <c r="Q60" s="10" t="n">
        <v>0</v>
      </c>
      <c r="R60" s="10" t="n">
        <f aca="false">ROUND(O60*Q60, 2)</f>
        <v>0</v>
      </c>
    </row>
    <row r="61" customFormat="false" ht="13.8" hidden="false" customHeight="false" outlineLevel="0" collapsed="false">
      <c r="A61" s="7" t="s">
        <v>80</v>
      </c>
      <c r="B61" s="8" t="n">
        <v>27.5</v>
      </c>
      <c r="C61" s="8" t="n">
        <v>44.5</v>
      </c>
      <c r="D61" s="8" t="n">
        <v>15.5</v>
      </c>
      <c r="E61" s="8" t="n">
        <v>2450</v>
      </c>
      <c r="F61" s="8" t="n">
        <v>590</v>
      </c>
      <c r="G61" s="8" t="n">
        <v>0</v>
      </c>
      <c r="H61" s="8" t="n">
        <v>0.84</v>
      </c>
      <c r="I61" s="8" t="n">
        <v>0.12</v>
      </c>
      <c r="J61" s="8" t="n">
        <v>16</v>
      </c>
      <c r="K61" s="8" t="n">
        <v>0</v>
      </c>
      <c r="L61" s="8" t="n">
        <v>61</v>
      </c>
      <c r="M61" s="8" t="n">
        <v>230</v>
      </c>
      <c r="N61" s="8" t="n">
        <v>1</v>
      </c>
      <c r="O61" s="9" t="n">
        <v>5</v>
      </c>
      <c r="P61" s="11" t="n">
        <f aca="false">ROUND(O61/10, 2)</f>
        <v>0.5</v>
      </c>
      <c r="Q61" s="10" t="n">
        <v>0</v>
      </c>
      <c r="R61" s="10" t="n">
        <f aca="false">ROUND(O61*Q61, 2)</f>
        <v>0</v>
      </c>
    </row>
    <row r="62" customFormat="false" ht="13.8" hidden="false" customHeight="false" outlineLevel="0" collapsed="false">
      <c r="A62" s="7" t="s">
        <v>81</v>
      </c>
      <c r="B62" s="8" t="n">
        <v>0</v>
      </c>
      <c r="C62" s="8" t="n">
        <v>0</v>
      </c>
      <c r="D62" s="8" t="n">
        <v>99.9</v>
      </c>
      <c r="E62" s="8" t="n">
        <v>1720</v>
      </c>
      <c r="F62" s="8" t="n">
        <v>410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9" t="n">
        <v>1.1</v>
      </c>
      <c r="P62" s="11" t="n">
        <f aca="false">ROUND(O62/10, 2)</f>
        <v>0.11</v>
      </c>
      <c r="Q62" s="10" t="n">
        <v>0</v>
      </c>
      <c r="R62" s="10" t="n">
        <f aca="false">ROUND(O62*Q62, 2)</f>
        <v>0</v>
      </c>
    </row>
    <row r="63" customFormat="false" ht="13.8" hidden="false" customHeight="false" outlineLevel="0" collapsed="false">
      <c r="A63" s="7" t="s">
        <v>82</v>
      </c>
      <c r="B63" s="8" t="n">
        <v>0.4</v>
      </c>
      <c r="C63" s="8" t="n">
        <v>0</v>
      </c>
      <c r="D63" s="8" t="n">
        <v>8.3</v>
      </c>
      <c r="E63" s="8" t="n">
        <v>1400</v>
      </c>
      <c r="F63" s="8" t="n">
        <v>335</v>
      </c>
      <c r="G63" s="8" t="n">
        <v>0</v>
      </c>
      <c r="H63" s="8" t="n">
        <v>0</v>
      </c>
      <c r="I63" s="8" t="n">
        <v>0.05</v>
      </c>
      <c r="J63" s="8" t="n">
        <v>0.2</v>
      </c>
      <c r="K63" s="8" t="n">
        <v>2</v>
      </c>
      <c r="L63" s="8" t="n">
        <v>5</v>
      </c>
      <c r="M63" s="8" t="n">
        <v>33</v>
      </c>
      <c r="N63" s="8" t="n">
        <v>0.6</v>
      </c>
      <c r="O63" s="9" t="n">
        <v>10.5</v>
      </c>
      <c r="P63" s="11" t="n">
        <f aca="false">ROUND(O63/10, 2)</f>
        <v>1.05</v>
      </c>
      <c r="Q63" s="10" t="n">
        <v>0</v>
      </c>
      <c r="R63" s="10" t="n">
        <f aca="false">ROUND(O63*Q63, 2)</f>
        <v>0</v>
      </c>
    </row>
    <row r="64" customFormat="false" ht="13.8" hidden="false" customHeight="false" outlineLevel="0" collapsed="false">
      <c r="A64" s="7" t="s">
        <v>83</v>
      </c>
      <c r="B64" s="8" t="n">
        <v>10.8</v>
      </c>
      <c r="C64" s="8" t="n">
        <v>8.5</v>
      </c>
      <c r="D64" s="8" t="n">
        <v>66.4</v>
      </c>
      <c r="E64" s="8" t="n">
        <v>1650</v>
      </c>
      <c r="F64" s="8" t="n">
        <v>395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29</v>
      </c>
      <c r="M64" s="8" t="n">
        <v>98</v>
      </c>
      <c r="N64" s="8" t="n">
        <v>2</v>
      </c>
      <c r="O64" s="9" t="n">
        <v>6</v>
      </c>
      <c r="P64" s="11" t="n">
        <f aca="false">ROUND(O64/10, 2)</f>
        <v>0.6</v>
      </c>
      <c r="Q64" s="10" t="n">
        <v>0</v>
      </c>
      <c r="R64" s="10" t="n">
        <f aca="false">ROUND(O64*Q64, 2)</f>
        <v>0</v>
      </c>
    </row>
    <row r="65" customFormat="false" ht="13.8" hidden="false" customHeight="false" outlineLevel="0" collapsed="false">
      <c r="A65" s="7" t="s">
        <v>84</v>
      </c>
      <c r="B65" s="8" t="n">
        <v>16.7</v>
      </c>
      <c r="C65" s="8" t="n">
        <v>30.4</v>
      </c>
      <c r="D65" s="8" t="n">
        <v>47.2</v>
      </c>
      <c r="E65" s="8" t="n">
        <v>2280</v>
      </c>
      <c r="F65" s="8" t="n">
        <v>545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0</v>
      </c>
      <c r="O65" s="9" t="n">
        <v>6</v>
      </c>
      <c r="P65" s="11" t="n">
        <f aca="false">ROUND(O65/10, 2)</f>
        <v>0.6</v>
      </c>
      <c r="Q65" s="10" t="n">
        <v>0</v>
      </c>
      <c r="R65" s="10" t="n">
        <f aca="false">ROUND(O65*Q65, 2)</f>
        <v>0</v>
      </c>
    </row>
    <row r="66" customFormat="false" ht="13.8" hidden="false" customHeight="false" outlineLevel="0" collapsed="false">
      <c r="A66" s="7" t="s">
        <v>85</v>
      </c>
      <c r="B66" s="8" t="n">
        <v>23.6</v>
      </c>
      <c r="C66" s="8" t="n">
        <v>20.2</v>
      </c>
      <c r="D66" s="8" t="n">
        <v>40.2</v>
      </c>
      <c r="E66" s="8" t="n">
        <v>1880</v>
      </c>
      <c r="F66" s="8" t="n">
        <v>449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9" t="n">
        <v>30</v>
      </c>
      <c r="P66" s="11" t="n">
        <f aca="false">ROUND(O66/10, 2)</f>
        <v>3</v>
      </c>
      <c r="Q66" s="10" t="n">
        <v>0</v>
      </c>
      <c r="R66" s="10" t="n">
        <f aca="false">ROUND(O66*Q66, 2)</f>
        <v>0</v>
      </c>
    </row>
    <row r="67" customFormat="false" ht="13.8" hidden="false" customHeight="false" outlineLevel="0" collapsed="false">
      <c r="A67" s="7" t="s">
        <v>86</v>
      </c>
      <c r="B67" s="8" t="n">
        <v>0</v>
      </c>
      <c r="C67" s="8" t="n">
        <v>0</v>
      </c>
      <c r="D67" s="8" t="n">
        <v>96</v>
      </c>
      <c r="E67" s="8" t="n">
        <v>1670</v>
      </c>
      <c r="F67" s="8" t="n">
        <v>398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0</v>
      </c>
      <c r="O67" s="9" t="n">
        <v>5</v>
      </c>
      <c r="P67" s="11" t="n">
        <f aca="false">ROUND(O67/10, 2)</f>
        <v>0.5</v>
      </c>
      <c r="Q67" s="10" t="n">
        <v>0</v>
      </c>
      <c r="R67" s="10" t="n">
        <f aca="false">ROUND(O67*Q67, 2)</f>
        <v>0</v>
      </c>
    </row>
    <row r="68" customFormat="false" ht="13.8" hidden="false" customHeight="false" outlineLevel="0" collapsed="false">
      <c r="A68" s="7" t="s">
        <v>87</v>
      </c>
      <c r="B68" s="8" t="n">
        <v>2.1</v>
      </c>
      <c r="C68" s="8" t="n">
        <v>8</v>
      </c>
      <c r="D68" s="8" t="n">
        <v>71.8</v>
      </c>
      <c r="E68" s="8" t="n">
        <v>1580</v>
      </c>
      <c r="F68" s="8" t="n">
        <v>378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9" t="n">
        <v>8</v>
      </c>
      <c r="P68" s="11" t="n">
        <f aca="false">ROUND(O68/10, 2)</f>
        <v>0.8</v>
      </c>
      <c r="Q68" s="10" t="n">
        <v>0</v>
      </c>
      <c r="R68" s="10" t="n">
        <f aca="false">ROUND(O68*Q68, 2)</f>
        <v>0</v>
      </c>
    </row>
    <row r="69" customFormat="false" ht="13.8" hidden="false" customHeight="false" outlineLevel="0" collapsed="false">
      <c r="A69" s="7" t="s">
        <v>88</v>
      </c>
      <c r="B69" s="8" t="n">
        <v>0</v>
      </c>
      <c r="C69" s="8" t="n">
        <v>0</v>
      </c>
      <c r="D69" s="8" t="n">
        <v>78</v>
      </c>
      <c r="E69" s="8" t="n">
        <v>1360</v>
      </c>
      <c r="F69" s="8" t="n">
        <v>324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0</v>
      </c>
      <c r="O69" s="9" t="n">
        <v>6.5</v>
      </c>
      <c r="P69" s="11" t="n">
        <f aca="false">ROUND(O69/10, 2)</f>
        <v>0.65</v>
      </c>
      <c r="Q69" s="10" t="n">
        <v>0</v>
      </c>
      <c r="R69" s="10" t="n">
        <f aca="false">ROUND(O69*Q69, 2)</f>
        <v>0</v>
      </c>
    </row>
    <row r="70" customFormat="false" ht="13.8" hidden="false" customHeight="false" outlineLevel="0" collapsed="false">
      <c r="A70" s="7" t="s">
        <v>89</v>
      </c>
      <c r="B70" s="8" t="n">
        <v>5.1</v>
      </c>
      <c r="C70" s="8" t="n">
        <v>33.1</v>
      </c>
      <c r="D70" s="8" t="n">
        <v>58.9</v>
      </c>
      <c r="E70" s="8" t="n">
        <v>2390</v>
      </c>
      <c r="F70" s="8" t="n">
        <v>570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49</v>
      </c>
      <c r="M70" s="8" t="n">
        <v>225</v>
      </c>
      <c r="N70" s="8" t="n">
        <v>2.2</v>
      </c>
      <c r="O70" s="9" t="n">
        <v>14.5</v>
      </c>
      <c r="P70" s="11" t="n">
        <f aca="false">ROUND(O70/10, 2)</f>
        <v>1.45</v>
      </c>
      <c r="Q70" s="10" t="n">
        <v>0</v>
      </c>
      <c r="R70" s="10" t="n">
        <f aca="false">ROUND(O70*Q70, 2)</f>
        <v>0</v>
      </c>
    </row>
    <row r="71" customFormat="false" ht="13.8" hidden="false" customHeight="false" outlineLevel="0" collapsed="false">
      <c r="A71" s="7" t="s">
        <v>90</v>
      </c>
      <c r="B71" s="8" t="n">
        <v>2</v>
      </c>
      <c r="C71" s="8" t="n">
        <v>91</v>
      </c>
      <c r="D71" s="8" t="n">
        <v>0</v>
      </c>
      <c r="E71" s="8" t="n">
        <v>3560</v>
      </c>
      <c r="F71" s="8" t="n">
        <v>854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0</v>
      </c>
      <c r="O71" s="9" t="n">
        <v>7</v>
      </c>
      <c r="P71" s="11" t="n">
        <f aca="false">ROUND(O71/10, 2)</f>
        <v>0.7</v>
      </c>
      <c r="Q71" s="10" t="n">
        <v>0</v>
      </c>
      <c r="R71" s="10" t="n">
        <f aca="false">ROUND(O71*Q71, 2)</f>
        <v>0</v>
      </c>
    </row>
    <row r="72" customFormat="false" ht="13.8" hidden="false" customHeight="false" outlineLevel="0" collapsed="false">
      <c r="A72" s="7" t="s">
        <v>91</v>
      </c>
      <c r="B72" s="8" t="n">
        <v>0</v>
      </c>
      <c r="C72" s="8" t="n">
        <v>99.7</v>
      </c>
      <c r="D72" s="8" t="n">
        <v>0</v>
      </c>
      <c r="E72" s="8" t="n">
        <v>3880</v>
      </c>
      <c r="F72" s="8" t="n">
        <v>927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9" t="n">
        <v>6</v>
      </c>
      <c r="P72" s="11" t="n">
        <f aca="false">ROUND(O72/10, 2)</f>
        <v>0.6</v>
      </c>
      <c r="Q72" s="10" t="n">
        <v>0</v>
      </c>
      <c r="R72" s="10" t="n">
        <f aca="false">ROUND(O72*Q72, 2)</f>
        <v>0</v>
      </c>
    </row>
    <row r="73" customFormat="false" ht="13.8" hidden="false" customHeight="false" outlineLevel="0" collapsed="false">
      <c r="A73" s="7" t="s">
        <v>92</v>
      </c>
      <c r="B73" s="8" t="n">
        <v>0</v>
      </c>
      <c r="C73" s="8" t="n">
        <v>99.5</v>
      </c>
      <c r="D73" s="8" t="n">
        <v>0</v>
      </c>
      <c r="E73" s="8" t="n">
        <v>3870</v>
      </c>
      <c r="F73" s="8" t="n">
        <v>925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0</v>
      </c>
      <c r="O73" s="9" t="n">
        <v>99999</v>
      </c>
      <c r="P73" s="11" t="n">
        <f aca="false">ROUND(O73/10, 2)</f>
        <v>9999.9</v>
      </c>
      <c r="Q73" s="10" t="n">
        <v>0</v>
      </c>
      <c r="R73" s="10" t="n">
        <f aca="false">ROUND(O73*Q73, 2)</f>
        <v>0</v>
      </c>
    </row>
    <row r="74" customFormat="false" ht="13.8" hidden="false" customHeight="false" outlineLevel="0" collapsed="false">
      <c r="A74" s="7" t="s">
        <v>93</v>
      </c>
      <c r="B74" s="8" t="n">
        <v>0</v>
      </c>
      <c r="C74" s="8" t="n">
        <v>99.8</v>
      </c>
      <c r="D74" s="8" t="n">
        <v>0</v>
      </c>
      <c r="E74" s="8" t="n">
        <v>3890</v>
      </c>
      <c r="F74" s="8" t="n">
        <v>928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9" t="n">
        <v>1.5</v>
      </c>
      <c r="P74" s="11" t="n">
        <f aca="false">ROUND(O74/10, 2)</f>
        <v>0.15</v>
      </c>
      <c r="Q74" s="10" t="n">
        <v>0.785900177531324</v>
      </c>
      <c r="R74" s="10" t="n">
        <f aca="false">ROUND(O74*Q74, 2)</f>
        <v>1.18</v>
      </c>
    </row>
    <row r="75" customFormat="false" ht="13.8" hidden="false" customHeight="false" outlineLevel="0" collapsed="false">
      <c r="A75" s="7" t="s">
        <v>94</v>
      </c>
      <c r="B75" s="8" t="n">
        <v>0.5</v>
      </c>
      <c r="C75" s="8" t="n">
        <v>82</v>
      </c>
      <c r="D75" s="8" t="n">
        <v>0.4</v>
      </c>
      <c r="E75" s="8" t="n">
        <v>3210</v>
      </c>
      <c r="F75" s="8" t="n">
        <v>766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0</v>
      </c>
      <c r="O75" s="9" t="n">
        <v>2.5</v>
      </c>
      <c r="P75" s="11" t="n">
        <f aca="false">ROUND(O75/10, 2)</f>
        <v>0.25</v>
      </c>
      <c r="Q75" s="10" t="n">
        <v>0</v>
      </c>
      <c r="R75" s="10" t="n">
        <f aca="false">ROUND(O75*Q75, 2)</f>
        <v>0</v>
      </c>
    </row>
    <row r="76" customFormat="false" ht="13.8" hidden="false" customHeight="false" outlineLevel="0" collapsed="false">
      <c r="A76" s="7" t="s">
        <v>95</v>
      </c>
      <c r="B76" s="8" t="n">
        <v>0</v>
      </c>
      <c r="C76" s="8" t="n">
        <v>99.8</v>
      </c>
      <c r="D76" s="8" t="n">
        <v>0</v>
      </c>
      <c r="E76" s="8" t="n">
        <v>3890</v>
      </c>
      <c r="F76" s="8" t="n">
        <v>928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9" t="n">
        <v>2</v>
      </c>
      <c r="P76" s="11" t="n">
        <f aca="false">ROUND(O76/10, 2)</f>
        <v>0.2</v>
      </c>
      <c r="Q76" s="10" t="n">
        <v>0</v>
      </c>
      <c r="R76" s="10" t="n">
        <f aca="false">ROUND(O76*Q76, 2)</f>
        <v>0</v>
      </c>
    </row>
    <row r="77" customFormat="false" ht="13.8" hidden="false" customHeight="false" outlineLevel="0" collapsed="false">
      <c r="A77" s="7" t="s">
        <v>96</v>
      </c>
      <c r="B77" s="8" t="n">
        <v>3.3</v>
      </c>
      <c r="C77" s="8" t="n">
        <v>3.7</v>
      </c>
      <c r="D77" s="8" t="n">
        <v>4.7</v>
      </c>
      <c r="E77" s="8" t="n">
        <v>281</v>
      </c>
      <c r="F77" s="8" t="n">
        <v>67</v>
      </c>
      <c r="G77" s="8" t="n">
        <v>0.05</v>
      </c>
      <c r="H77" s="8" t="n">
        <v>0.05</v>
      </c>
      <c r="I77" s="8" t="n">
        <v>0.19</v>
      </c>
      <c r="J77" s="8" t="n">
        <v>0.1</v>
      </c>
      <c r="K77" s="8" t="n">
        <v>1</v>
      </c>
      <c r="L77" s="8" t="n">
        <v>120</v>
      </c>
      <c r="M77" s="8" t="n">
        <v>95</v>
      </c>
      <c r="N77" s="8" t="n">
        <v>0.1</v>
      </c>
      <c r="O77" s="9" t="n">
        <v>1.05</v>
      </c>
      <c r="P77" s="11" t="n">
        <f aca="false">ROUND(O77/10, 2)</f>
        <v>0.11</v>
      </c>
      <c r="Q77" s="10" t="n">
        <v>0</v>
      </c>
      <c r="R77" s="10" t="n">
        <f aca="false">ROUND(O77*Q77, 2)</f>
        <v>0</v>
      </c>
    </row>
    <row r="78" customFormat="false" ht="13.8" hidden="false" customHeight="false" outlineLevel="0" collapsed="false">
      <c r="A78" s="7" t="s">
        <v>97</v>
      </c>
      <c r="B78" s="8" t="n">
        <v>3.5</v>
      </c>
      <c r="C78" s="8" t="n">
        <v>4</v>
      </c>
      <c r="D78" s="8" t="n">
        <v>4.5</v>
      </c>
      <c r="E78" s="8" t="n">
        <v>293</v>
      </c>
      <c r="F78" s="8" t="n">
        <v>70</v>
      </c>
      <c r="G78" s="8" t="n">
        <v>0.05</v>
      </c>
      <c r="H78" s="8" t="n">
        <v>0.04</v>
      </c>
      <c r="I78" s="8" t="n">
        <v>0.18</v>
      </c>
      <c r="J78" s="8" t="n">
        <v>0.3</v>
      </c>
      <c r="K78" s="8" t="n">
        <v>3</v>
      </c>
      <c r="L78" s="8" t="n">
        <v>147</v>
      </c>
      <c r="M78" s="8" t="n">
        <v>126</v>
      </c>
      <c r="N78" s="8" t="n">
        <v>0.1</v>
      </c>
      <c r="O78" s="9" t="n">
        <v>3.2</v>
      </c>
      <c r="P78" s="11" t="n">
        <f aca="false">ROUND(O78/10, 2)</f>
        <v>0.32</v>
      </c>
      <c r="Q78" s="10" t="n">
        <v>0</v>
      </c>
      <c r="R78" s="10" t="n">
        <f aca="false">ROUND(O78*Q78, 2)</f>
        <v>0</v>
      </c>
    </row>
    <row r="79" customFormat="false" ht="13.8" hidden="false" customHeight="false" outlineLevel="0" collapsed="false">
      <c r="A79" s="7" t="s">
        <v>98</v>
      </c>
      <c r="B79" s="8" t="n">
        <v>13.2</v>
      </c>
      <c r="C79" s="8" t="n">
        <v>20</v>
      </c>
      <c r="D79" s="8" t="n">
        <v>2.4</v>
      </c>
      <c r="E79" s="8" t="n">
        <v>1060</v>
      </c>
      <c r="F79" s="8" t="n">
        <v>253</v>
      </c>
      <c r="G79" s="8" t="n">
        <v>0</v>
      </c>
      <c r="H79" s="8" t="n">
        <v>0</v>
      </c>
      <c r="I79" s="8" t="n">
        <v>0.5</v>
      </c>
      <c r="J79" s="8" t="n">
        <v>0</v>
      </c>
      <c r="K79" s="8" t="n">
        <v>0</v>
      </c>
      <c r="L79" s="8" t="n">
        <v>140</v>
      </c>
      <c r="M79" s="8" t="n">
        <v>130</v>
      </c>
      <c r="N79" s="8" t="n">
        <v>0</v>
      </c>
      <c r="O79" s="9" t="n">
        <v>6</v>
      </c>
      <c r="P79" s="11" t="n">
        <f aca="false">ROUND(O79/10, 2)</f>
        <v>0.6</v>
      </c>
      <c r="Q79" s="10" t="n">
        <v>0</v>
      </c>
      <c r="R79" s="10" t="n">
        <f aca="false">ROUND(O79*Q79, 2)</f>
        <v>0</v>
      </c>
    </row>
    <row r="80" customFormat="false" ht="13.8" hidden="false" customHeight="false" outlineLevel="0" collapsed="false">
      <c r="A80" s="7" t="s">
        <v>99</v>
      </c>
      <c r="B80" s="8" t="n">
        <v>12</v>
      </c>
      <c r="C80" s="8" t="n">
        <v>8.5</v>
      </c>
      <c r="D80" s="8" t="n">
        <v>3.3</v>
      </c>
      <c r="E80" s="8" t="n">
        <v>423</v>
      </c>
      <c r="F80" s="8" t="n">
        <v>141</v>
      </c>
      <c r="G80" s="8" t="n">
        <v>0</v>
      </c>
      <c r="H80" s="8" t="n">
        <v>0</v>
      </c>
      <c r="I80" s="8" t="n">
        <v>0.5</v>
      </c>
      <c r="J80" s="8" t="n">
        <v>0</v>
      </c>
      <c r="K80" s="8" t="n">
        <v>0</v>
      </c>
      <c r="L80" s="8" t="n">
        <v>140</v>
      </c>
      <c r="M80" s="8" t="n">
        <v>130</v>
      </c>
      <c r="N80" s="8" t="n">
        <v>0</v>
      </c>
      <c r="O80" s="9" t="n">
        <v>5.5</v>
      </c>
      <c r="P80" s="11" t="n">
        <f aca="false">ROUND(O80/10, 2)</f>
        <v>0.55</v>
      </c>
      <c r="Q80" s="10" t="n">
        <v>0</v>
      </c>
      <c r="R80" s="10" t="n">
        <f aca="false">ROUND(O80*Q80, 2)</f>
        <v>0</v>
      </c>
    </row>
    <row r="81" customFormat="false" ht="13.8" hidden="false" customHeight="false" outlineLevel="0" collapsed="false">
      <c r="A81" s="7" t="s">
        <v>100</v>
      </c>
      <c r="B81" s="8" t="n">
        <v>13.6</v>
      </c>
      <c r="C81" s="8" t="n">
        <v>0.5</v>
      </c>
      <c r="D81" s="8" t="n">
        <v>3.5</v>
      </c>
      <c r="E81" s="8" t="n">
        <v>314</v>
      </c>
      <c r="F81" s="8" t="n">
        <v>75</v>
      </c>
      <c r="G81" s="8" t="n">
        <v>0</v>
      </c>
      <c r="H81" s="8" t="n">
        <v>0</v>
      </c>
      <c r="I81" s="8" t="n">
        <v>0.5</v>
      </c>
      <c r="J81" s="8" t="n">
        <v>0</v>
      </c>
      <c r="K81" s="8" t="n">
        <v>0</v>
      </c>
      <c r="L81" s="8" t="n">
        <v>164</v>
      </c>
      <c r="M81" s="8" t="n">
        <v>151</v>
      </c>
      <c r="N81" s="8" t="n">
        <v>0</v>
      </c>
      <c r="O81" s="9" t="n">
        <v>4</v>
      </c>
      <c r="P81" s="11" t="n">
        <f aca="false">ROUND(O81/10, 2)</f>
        <v>0.4</v>
      </c>
      <c r="Q81" s="10" t="n">
        <v>0</v>
      </c>
      <c r="R81" s="10" t="n">
        <f aca="false">ROUND(O81*Q81, 2)</f>
        <v>0</v>
      </c>
    </row>
    <row r="82" customFormat="false" ht="13.8" hidden="false" customHeight="false" outlineLevel="0" collapsed="false">
      <c r="A82" s="7" t="s">
        <v>101</v>
      </c>
      <c r="B82" s="8" t="n">
        <v>3.3</v>
      </c>
      <c r="C82" s="8" t="n">
        <v>3.7</v>
      </c>
      <c r="D82" s="8" t="n">
        <v>3.6</v>
      </c>
      <c r="E82" s="8" t="n">
        <v>281</v>
      </c>
      <c r="F82" s="8" t="n">
        <v>67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120</v>
      </c>
      <c r="M82" s="8" t="n">
        <v>95</v>
      </c>
      <c r="N82" s="8" t="n">
        <v>0.1</v>
      </c>
      <c r="O82" s="9" t="n">
        <v>1.3</v>
      </c>
      <c r="P82" s="11" t="n">
        <f aca="false">ROUND(O82/10, 2)</f>
        <v>0.13</v>
      </c>
      <c r="Q82" s="10" t="n">
        <v>0</v>
      </c>
      <c r="R82" s="10" t="n">
        <f aca="false">ROUND(O82*Q82, 2)</f>
        <v>0</v>
      </c>
    </row>
    <row r="83" customFormat="false" ht="13.8" hidden="false" customHeight="false" outlineLevel="0" collapsed="false">
      <c r="A83" s="7" t="s">
        <v>102</v>
      </c>
      <c r="B83" s="8" t="n">
        <v>2</v>
      </c>
      <c r="C83" s="8" t="n">
        <v>32.9</v>
      </c>
      <c r="D83" s="8" t="n">
        <v>3</v>
      </c>
      <c r="E83" s="8" t="n">
        <v>1360</v>
      </c>
      <c r="F83" s="8" t="n">
        <v>326</v>
      </c>
      <c r="G83" s="8" t="n">
        <v>0.3</v>
      </c>
      <c r="H83" s="8" t="n">
        <v>0.05</v>
      </c>
      <c r="I83" s="8" t="n">
        <v>0</v>
      </c>
      <c r="J83" s="8" t="n">
        <v>0</v>
      </c>
      <c r="K83" s="8" t="n">
        <v>0</v>
      </c>
      <c r="L83" s="8" t="n">
        <v>52</v>
      </c>
      <c r="M83" s="8" t="n">
        <v>55</v>
      </c>
      <c r="N83" s="8" t="n">
        <v>0.1</v>
      </c>
      <c r="O83" s="9" t="n">
        <v>6.5</v>
      </c>
      <c r="P83" s="11" t="n">
        <f aca="false">ROUND(O83/10, 2)</f>
        <v>0.65</v>
      </c>
      <c r="Q83" s="10" t="n">
        <v>0</v>
      </c>
      <c r="R83" s="10" t="n">
        <f aca="false">ROUND(O83*Q83, 2)</f>
        <v>0</v>
      </c>
    </row>
    <row r="84" customFormat="false" ht="13.8" hidden="false" customHeight="false" outlineLevel="0" collapsed="false">
      <c r="A84" s="7" t="s">
        <v>103</v>
      </c>
      <c r="B84" s="8" t="n">
        <v>2.5</v>
      </c>
      <c r="C84" s="8" t="n">
        <v>30</v>
      </c>
      <c r="D84" s="8" t="n">
        <v>2.5</v>
      </c>
      <c r="E84" s="8" t="n">
        <v>1264</v>
      </c>
      <c r="F84" s="8" t="n">
        <v>302</v>
      </c>
      <c r="G84" s="8" t="n">
        <v>0.3</v>
      </c>
      <c r="H84" s="8" t="n">
        <v>0.05</v>
      </c>
      <c r="I84" s="8" t="n">
        <v>0</v>
      </c>
      <c r="J84" s="8" t="n">
        <v>0</v>
      </c>
      <c r="K84" s="8" t="n">
        <v>0</v>
      </c>
      <c r="L84" s="8" t="n">
        <v>86</v>
      </c>
      <c r="M84" s="8" t="n">
        <v>68</v>
      </c>
      <c r="N84" s="8" t="n">
        <v>0.1</v>
      </c>
      <c r="O84" s="9" t="n">
        <v>3.5</v>
      </c>
      <c r="P84" s="11" t="n">
        <f aca="false">ROUND(O84/10, 2)</f>
        <v>0.35</v>
      </c>
      <c r="Q84" s="10" t="n">
        <v>0</v>
      </c>
      <c r="R84" s="10" t="n">
        <f aca="false">ROUND(O84*Q84, 2)</f>
        <v>0</v>
      </c>
    </row>
    <row r="85" customFormat="false" ht="13.8" hidden="false" customHeight="false" outlineLevel="0" collapsed="false">
      <c r="A85" s="7" t="s">
        <v>104</v>
      </c>
      <c r="B85" s="8" t="n">
        <v>3.4</v>
      </c>
      <c r="C85" s="8" t="n">
        <v>9.4</v>
      </c>
      <c r="D85" s="8" t="n">
        <v>18.5</v>
      </c>
      <c r="E85" s="8" t="n">
        <v>741</v>
      </c>
      <c r="F85" s="8" t="n">
        <v>177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137</v>
      </c>
      <c r="M85" s="8" t="n">
        <v>82</v>
      </c>
      <c r="N85" s="8" t="n">
        <v>0.1</v>
      </c>
      <c r="O85" s="9" t="n">
        <v>10</v>
      </c>
      <c r="P85" s="11" t="n">
        <f aca="false">ROUND(O85/10, 2)</f>
        <v>1</v>
      </c>
      <c r="Q85" s="10" t="n">
        <v>0</v>
      </c>
      <c r="R85" s="10" t="n">
        <f aca="false">ROUND(O85*Q85, 2)</f>
        <v>0</v>
      </c>
    </row>
    <row r="86" customFormat="false" ht="13.8" hidden="false" customHeight="false" outlineLevel="0" collapsed="false">
      <c r="A86" s="7" t="s">
        <v>105</v>
      </c>
      <c r="B86" s="8" t="n">
        <v>3.3</v>
      </c>
      <c r="C86" s="8" t="n">
        <v>3.7</v>
      </c>
      <c r="D86" s="8" t="n">
        <v>3.9</v>
      </c>
      <c r="E86" s="8" t="n">
        <v>281</v>
      </c>
      <c r="F86" s="8" t="n">
        <v>67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120</v>
      </c>
      <c r="M86" s="8" t="n">
        <v>95</v>
      </c>
      <c r="N86" s="8" t="n">
        <v>0.1</v>
      </c>
      <c r="O86" s="9" t="n">
        <v>3</v>
      </c>
      <c r="P86" s="11" t="n">
        <f aca="false">ROUND(O86/10, 2)</f>
        <v>0.3</v>
      </c>
      <c r="Q86" s="10" t="n">
        <v>0</v>
      </c>
      <c r="R86" s="10" t="n">
        <f aca="false">ROUND(O86*Q86, 2)</f>
        <v>0</v>
      </c>
    </row>
    <row r="87" customFormat="false" ht="13.8" hidden="false" customHeight="false" outlineLevel="0" collapsed="false">
      <c r="A87" s="7" t="s">
        <v>106</v>
      </c>
      <c r="B87" s="8" t="n">
        <v>21</v>
      </c>
      <c r="C87" s="8" t="n">
        <v>23.9</v>
      </c>
      <c r="D87" s="8" t="n">
        <v>1.9</v>
      </c>
      <c r="E87" s="8" t="n">
        <v>1320</v>
      </c>
      <c r="F87" s="8" t="n">
        <v>316</v>
      </c>
      <c r="G87" s="8" t="n">
        <v>0.18</v>
      </c>
      <c r="H87" s="8" t="n">
        <v>0.15</v>
      </c>
      <c r="I87" s="8" t="n">
        <v>0.51</v>
      </c>
      <c r="J87" s="8" t="n">
        <v>0</v>
      </c>
      <c r="K87" s="8" t="n">
        <v>0</v>
      </c>
      <c r="L87" s="8" t="n">
        <v>808</v>
      </c>
      <c r="M87" s="8" t="n">
        <v>457</v>
      </c>
      <c r="N87" s="8" t="n">
        <v>0</v>
      </c>
      <c r="O87" s="9" t="n">
        <v>12.5</v>
      </c>
      <c r="P87" s="11" t="n">
        <f aca="false">ROUND(O87/10, 2)</f>
        <v>1.25</v>
      </c>
      <c r="Q87" s="10" t="n">
        <v>0</v>
      </c>
      <c r="R87" s="10" t="n">
        <f aca="false">ROUND(O87*Q87, 2)</f>
        <v>0</v>
      </c>
    </row>
    <row r="88" customFormat="false" ht="13.8" hidden="false" customHeight="false" outlineLevel="0" collapsed="false">
      <c r="A88" s="7" t="s">
        <v>107</v>
      </c>
      <c r="B88" s="8" t="n">
        <v>18.7</v>
      </c>
      <c r="C88" s="8" t="n">
        <v>17.1</v>
      </c>
      <c r="D88" s="8" t="n">
        <v>1.8</v>
      </c>
      <c r="E88" s="8" t="n">
        <v>1020</v>
      </c>
      <c r="F88" s="8" t="n">
        <v>243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601</v>
      </c>
      <c r="M88" s="8" t="n">
        <v>381</v>
      </c>
      <c r="N88" s="8" t="n">
        <v>0</v>
      </c>
      <c r="O88" s="9" t="n">
        <v>9.5</v>
      </c>
      <c r="P88" s="11" t="n">
        <f aca="false">ROUND(O88/10, 2)</f>
        <v>0.95</v>
      </c>
      <c r="Q88" s="10" t="n">
        <v>0</v>
      </c>
      <c r="R88" s="10" t="n">
        <f aca="false">ROUND(O88*Q88, 2)</f>
        <v>0</v>
      </c>
    </row>
    <row r="89" customFormat="false" ht="13.8" hidden="false" customHeight="false" outlineLevel="0" collapsed="false">
      <c r="A89" s="7" t="s">
        <v>108</v>
      </c>
      <c r="B89" s="8" t="n">
        <v>0.5</v>
      </c>
      <c r="C89" s="8" t="n">
        <v>83.5</v>
      </c>
      <c r="D89" s="8" t="n">
        <v>0.5</v>
      </c>
      <c r="E89" s="8" t="n">
        <v>3270</v>
      </c>
      <c r="F89" s="8" t="n">
        <v>781</v>
      </c>
      <c r="G89" s="8" t="n">
        <v>0.6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0</v>
      </c>
      <c r="O89" s="9" t="n">
        <v>8</v>
      </c>
      <c r="P89" s="11" t="n">
        <f aca="false">ROUND(O89/10, 2)</f>
        <v>0.8</v>
      </c>
      <c r="Q89" s="10" t="n">
        <v>0</v>
      </c>
      <c r="R89" s="10" t="n">
        <f aca="false">ROUND(O89*Q89, 2)</f>
        <v>0</v>
      </c>
    </row>
    <row r="90" customFormat="false" ht="13.8" hidden="false" customHeight="false" outlineLevel="0" collapsed="false">
      <c r="A90" s="7" t="s">
        <v>109</v>
      </c>
      <c r="B90" s="8" t="n">
        <v>0</v>
      </c>
      <c r="C90" s="8" t="n">
        <v>99.5</v>
      </c>
      <c r="D90" s="8" t="n">
        <v>0</v>
      </c>
      <c r="E90" s="8" t="n">
        <v>3990</v>
      </c>
      <c r="F90" s="8" t="n">
        <v>925</v>
      </c>
      <c r="G90" s="8" t="n">
        <v>0.6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0</v>
      </c>
      <c r="O90" s="9" t="n">
        <v>30</v>
      </c>
      <c r="P90" s="11" t="n">
        <f aca="false">ROUND(O90/10, 2)</f>
        <v>3</v>
      </c>
      <c r="Q90" s="10" t="n">
        <v>0</v>
      </c>
      <c r="R90" s="10" t="n">
        <f aca="false">ROUND(O90*Q90, 2)</f>
        <v>0</v>
      </c>
    </row>
    <row r="91" customFormat="false" ht="13.8" hidden="false" customHeight="false" outlineLevel="0" collapsed="false">
      <c r="A91" s="7" t="s">
        <v>110</v>
      </c>
      <c r="B91" s="8" t="n">
        <v>16.4</v>
      </c>
      <c r="C91" s="8" t="n">
        <v>17</v>
      </c>
      <c r="D91" s="8" t="n">
        <v>0</v>
      </c>
      <c r="E91" s="8" t="n">
        <v>940</v>
      </c>
      <c r="F91" s="8" t="n">
        <v>225</v>
      </c>
      <c r="G91" s="8" t="n">
        <v>0</v>
      </c>
      <c r="H91" s="8" t="n">
        <v>0.17</v>
      </c>
      <c r="I91" s="8" t="n">
        <v>0.15</v>
      </c>
      <c r="J91" s="8" t="n">
        <v>5.8</v>
      </c>
      <c r="K91" s="8" t="n">
        <v>0</v>
      </c>
      <c r="L91" s="8" t="n">
        <v>9</v>
      </c>
      <c r="M91" s="8" t="n">
        <v>177</v>
      </c>
      <c r="N91" s="8" t="n">
        <v>2.5</v>
      </c>
      <c r="O91" s="9" t="n">
        <v>22</v>
      </c>
      <c r="P91" s="11" t="n">
        <f aca="false">ROUND(O91/10, 2)</f>
        <v>2.2</v>
      </c>
      <c r="Q91" s="10" t="n">
        <v>0</v>
      </c>
      <c r="R91" s="10" t="n">
        <f aca="false">ROUND(O91*Q91, 2)</f>
        <v>0</v>
      </c>
    </row>
    <row r="92" customFormat="false" ht="13.8" hidden="false" customHeight="false" outlineLevel="0" collapsed="false">
      <c r="A92" s="7" t="s">
        <v>111</v>
      </c>
      <c r="B92" s="8" t="n">
        <v>14.5</v>
      </c>
      <c r="C92" s="8" t="n">
        <v>37.3</v>
      </c>
      <c r="D92" s="8" t="n">
        <v>0</v>
      </c>
      <c r="E92" s="8" t="n">
        <v>1700</v>
      </c>
      <c r="F92" s="8" t="n">
        <v>406</v>
      </c>
      <c r="G92" s="8" t="n">
        <v>0</v>
      </c>
      <c r="H92" s="8" t="n">
        <v>0.93</v>
      </c>
      <c r="I92" s="8" t="n">
        <v>0.16</v>
      </c>
      <c r="J92" s="8" t="n">
        <v>2.7</v>
      </c>
      <c r="K92" s="8" t="n">
        <v>0</v>
      </c>
      <c r="L92" s="8" t="n">
        <v>8</v>
      </c>
      <c r="M92" s="8" t="n">
        <v>156</v>
      </c>
      <c r="N92" s="8" t="n">
        <v>2.2</v>
      </c>
      <c r="O92" s="9" t="n">
        <v>7</v>
      </c>
      <c r="P92" s="11" t="n">
        <f aca="false">ROUND(O92/10, 2)</f>
        <v>0.7</v>
      </c>
      <c r="Q92" s="10" t="n">
        <v>0</v>
      </c>
      <c r="R92" s="10" t="n">
        <f aca="false">ROUND(O92*Q92, 2)</f>
        <v>0</v>
      </c>
    </row>
    <row r="93" customFormat="false" ht="13.8" hidden="false" customHeight="false" outlineLevel="0" collapsed="false">
      <c r="A93" s="7" t="s">
        <v>112</v>
      </c>
      <c r="B93" s="8" t="n">
        <v>16.5</v>
      </c>
      <c r="C93" s="8" t="n">
        <v>21.5</v>
      </c>
      <c r="D93" s="8" t="n">
        <v>0</v>
      </c>
      <c r="E93" s="8" t="n">
        <v>1120</v>
      </c>
      <c r="F93" s="8" t="n">
        <v>268</v>
      </c>
      <c r="G93" s="8" t="n">
        <v>0</v>
      </c>
      <c r="H93" s="8" t="n">
        <v>0.93</v>
      </c>
      <c r="I93" s="8" t="n">
        <v>0.16</v>
      </c>
      <c r="J93" s="8" t="n">
        <v>2.7</v>
      </c>
      <c r="K93" s="8" t="n">
        <v>0</v>
      </c>
      <c r="L93" s="8" t="n">
        <v>9</v>
      </c>
      <c r="M93" s="8" t="n">
        <v>178</v>
      </c>
      <c r="N93" s="8" t="n">
        <v>2.5</v>
      </c>
      <c r="O93" s="9" t="n">
        <v>9</v>
      </c>
      <c r="P93" s="11" t="n">
        <f aca="false">ROUND(O93/10, 2)</f>
        <v>0.9</v>
      </c>
      <c r="Q93" s="10" t="n">
        <v>0</v>
      </c>
      <c r="R93" s="10" t="n">
        <f aca="false">ROUND(O93*Q93, 2)</f>
        <v>0</v>
      </c>
    </row>
    <row r="94" customFormat="false" ht="13.8" hidden="false" customHeight="false" outlineLevel="0" collapsed="false">
      <c r="A94" s="7" t="s">
        <v>113</v>
      </c>
      <c r="B94" s="8" t="n">
        <v>18</v>
      </c>
      <c r="C94" s="8" t="n">
        <v>10.5</v>
      </c>
      <c r="D94" s="8" t="n">
        <v>0</v>
      </c>
      <c r="E94" s="8" t="n">
        <v>720</v>
      </c>
      <c r="F94" s="8" t="n">
        <v>171</v>
      </c>
      <c r="G94" s="8" t="n">
        <v>0.01</v>
      </c>
      <c r="H94" s="8" t="n">
        <v>0.1</v>
      </c>
      <c r="I94" s="8" t="n">
        <v>0.17</v>
      </c>
      <c r="J94" s="8" t="n">
        <v>4.2</v>
      </c>
      <c r="K94" s="8" t="n">
        <v>0</v>
      </c>
      <c r="L94" s="8" t="n">
        <v>10</v>
      </c>
      <c r="M94" s="8" t="n">
        <v>194</v>
      </c>
      <c r="N94" s="8" t="n">
        <v>2.7</v>
      </c>
      <c r="O94" s="9" t="n">
        <v>12.5</v>
      </c>
      <c r="P94" s="11" t="n">
        <f aca="false">ROUND(O94/10, 2)</f>
        <v>1.25</v>
      </c>
      <c r="Q94" s="10" t="n">
        <v>0</v>
      </c>
      <c r="R94" s="10" t="n">
        <f aca="false">ROUND(O94*Q94, 2)</f>
        <v>0</v>
      </c>
    </row>
    <row r="95" customFormat="false" ht="13.8" hidden="false" customHeight="false" outlineLevel="0" collapsed="false">
      <c r="A95" s="7" t="s">
        <v>114</v>
      </c>
      <c r="B95" s="8" t="n">
        <v>4.6</v>
      </c>
      <c r="C95" s="8" t="n">
        <v>23.9</v>
      </c>
      <c r="D95" s="8" t="n">
        <v>0</v>
      </c>
      <c r="E95" s="8" t="n">
        <v>1010</v>
      </c>
      <c r="F95" s="8" t="n">
        <v>241</v>
      </c>
      <c r="G95" s="8" t="n">
        <v>0.13</v>
      </c>
      <c r="H95" s="8" t="n">
        <v>0.15</v>
      </c>
      <c r="I95" s="8" t="n">
        <v>0.09</v>
      </c>
      <c r="J95" s="8" t="n">
        <v>2.7</v>
      </c>
      <c r="K95" s="8" t="n">
        <v>0</v>
      </c>
      <c r="L95" s="8" t="n">
        <v>6</v>
      </c>
      <c r="M95" s="8" t="n">
        <v>0</v>
      </c>
      <c r="N95" s="8" t="n">
        <v>0.8</v>
      </c>
      <c r="O95" s="9" t="n">
        <v>9.5</v>
      </c>
      <c r="P95" s="11" t="n">
        <f aca="false">ROUND(O95/10, 2)</f>
        <v>0.95</v>
      </c>
      <c r="Q95" s="10" t="n">
        <v>0</v>
      </c>
      <c r="R95" s="10" t="n">
        <f aca="false">ROUND(O95*Q95, 2)</f>
        <v>0</v>
      </c>
    </row>
    <row r="96" customFormat="false" ht="13.8" hidden="false" customHeight="false" outlineLevel="0" collapsed="false">
      <c r="A96" s="7" t="s">
        <v>115</v>
      </c>
      <c r="B96" s="8" t="n">
        <v>19</v>
      </c>
      <c r="C96" s="8" t="n">
        <v>7.5</v>
      </c>
      <c r="D96" s="8" t="n">
        <v>0</v>
      </c>
      <c r="E96" s="8" t="n">
        <v>620</v>
      </c>
      <c r="F96" s="8" t="n">
        <v>147</v>
      </c>
      <c r="G96" s="8" t="n">
        <v>0.01</v>
      </c>
      <c r="H96" s="8" t="n">
        <v>0.23</v>
      </c>
      <c r="I96" s="8" t="n">
        <v>0.25</v>
      </c>
      <c r="J96" s="8" t="n">
        <v>6.2</v>
      </c>
      <c r="K96" s="8" t="n">
        <v>0</v>
      </c>
      <c r="L96" s="8" t="n">
        <v>8</v>
      </c>
      <c r="M96" s="8" t="n">
        <v>188</v>
      </c>
      <c r="N96" s="8" t="n">
        <v>1.7</v>
      </c>
      <c r="O96" s="9" t="n">
        <v>14</v>
      </c>
      <c r="P96" s="11" t="n">
        <f aca="false">ROUND(O96/10, 2)</f>
        <v>1.4</v>
      </c>
      <c r="Q96" s="10" t="n">
        <v>0</v>
      </c>
      <c r="R96" s="10" t="n">
        <f aca="false">ROUND(O96*Q96, 2)</f>
        <v>0</v>
      </c>
    </row>
    <row r="97" customFormat="false" ht="13.8" hidden="false" customHeight="false" outlineLevel="0" collapsed="false">
      <c r="A97" s="7" t="s">
        <v>116</v>
      </c>
      <c r="B97" s="8" t="n">
        <v>8.8</v>
      </c>
      <c r="C97" s="8" t="n">
        <v>7.2</v>
      </c>
      <c r="D97" s="8" t="n">
        <v>0</v>
      </c>
      <c r="E97" s="8" t="n">
        <v>440</v>
      </c>
      <c r="F97" s="8" t="n">
        <v>104</v>
      </c>
      <c r="G97" s="8" t="n">
        <v>0.09</v>
      </c>
      <c r="H97" s="8" t="n">
        <v>0.03</v>
      </c>
      <c r="I97" s="8" t="n">
        <v>0.04</v>
      </c>
      <c r="J97" s="8" t="n">
        <v>3.6</v>
      </c>
      <c r="K97" s="8" t="n">
        <v>0</v>
      </c>
      <c r="L97" s="8" t="n">
        <v>12</v>
      </c>
      <c r="M97" s="8" t="n">
        <v>155</v>
      </c>
      <c r="N97" s="8" t="n">
        <v>1.5</v>
      </c>
      <c r="O97" s="9" t="n">
        <v>10.5</v>
      </c>
      <c r="P97" s="11" t="n">
        <f aca="false">ROUND(O97/10, 2)</f>
        <v>1.05</v>
      </c>
      <c r="Q97" s="10" t="n">
        <v>0</v>
      </c>
      <c r="R97" s="10" t="n">
        <f aca="false">ROUND(O97*Q97, 2)</f>
        <v>0</v>
      </c>
    </row>
    <row r="98" customFormat="false" ht="13.8" hidden="false" customHeight="false" outlineLevel="0" collapsed="false">
      <c r="A98" s="7" t="s">
        <v>117</v>
      </c>
      <c r="B98" s="8" t="n">
        <v>12.7</v>
      </c>
      <c r="C98" s="8" t="n">
        <v>5.3</v>
      </c>
      <c r="D98" s="8" t="n">
        <v>0</v>
      </c>
      <c r="E98" s="8" t="n">
        <v>420</v>
      </c>
      <c r="F98" s="8" t="n">
        <v>101</v>
      </c>
      <c r="G98" s="8" t="n">
        <v>0</v>
      </c>
      <c r="H98" s="8" t="n">
        <v>0.05</v>
      </c>
      <c r="I98" s="8" t="n">
        <v>0.04</v>
      </c>
      <c r="J98" s="8" t="n">
        <v>5.3</v>
      </c>
      <c r="K98" s="8" t="n">
        <v>0</v>
      </c>
      <c r="L98" s="8" t="n">
        <v>15</v>
      </c>
      <c r="M98" s="8" t="n">
        <v>157</v>
      </c>
      <c r="N98" s="8" t="n">
        <v>1.1</v>
      </c>
      <c r="O98" s="9" t="n">
        <v>13.5</v>
      </c>
      <c r="P98" s="11" t="n">
        <f aca="false">ROUND(O98/10, 2)</f>
        <v>1.35</v>
      </c>
      <c r="Q98" s="10" t="n">
        <v>0</v>
      </c>
      <c r="R98" s="10" t="n">
        <f aca="false">ROUND(O98*Q98, 2)</f>
        <v>0</v>
      </c>
    </row>
    <row r="99" customFormat="false" ht="13.8" hidden="false" customHeight="false" outlineLevel="0" collapsed="false">
      <c r="A99" s="7" t="s">
        <v>118</v>
      </c>
      <c r="B99" s="8" t="n">
        <v>8.9</v>
      </c>
      <c r="C99" s="8" t="n">
        <v>6.4</v>
      </c>
      <c r="D99" s="8" t="n">
        <v>0</v>
      </c>
      <c r="E99" s="8" t="n">
        <v>400</v>
      </c>
      <c r="F99" s="8" t="n">
        <v>96</v>
      </c>
      <c r="G99" s="8" t="n">
        <v>0.06</v>
      </c>
      <c r="H99" s="8" t="n">
        <v>0.08</v>
      </c>
      <c r="I99" s="8" t="n">
        <v>0.08</v>
      </c>
      <c r="J99" s="8" t="n">
        <v>4.2</v>
      </c>
      <c r="K99" s="8" t="n">
        <v>0</v>
      </c>
      <c r="L99" s="8" t="n">
        <v>6</v>
      </c>
      <c r="M99" s="8" t="n">
        <v>99</v>
      </c>
      <c r="N99" s="8" t="n">
        <v>0.8</v>
      </c>
      <c r="O99" s="9" t="n">
        <v>6.5</v>
      </c>
      <c r="P99" s="11" t="n">
        <f aca="false">ROUND(O99/10, 2)</f>
        <v>0.65</v>
      </c>
      <c r="Q99" s="10" t="n">
        <v>0</v>
      </c>
      <c r="R99" s="10" t="n">
        <f aca="false">ROUND(O99*Q99, 2)</f>
        <v>0</v>
      </c>
    </row>
    <row r="100" customFormat="false" ht="13.8" hidden="false" customHeight="false" outlineLevel="0" collapsed="false">
      <c r="A100" s="7" t="s">
        <v>119</v>
      </c>
      <c r="B100" s="8" t="n">
        <v>14</v>
      </c>
      <c r="C100" s="8" t="n">
        <v>39</v>
      </c>
      <c r="D100" s="8" t="n">
        <v>0</v>
      </c>
      <c r="E100" s="8" t="n">
        <v>1770</v>
      </c>
      <c r="F100" s="8" t="n">
        <v>422</v>
      </c>
      <c r="G100" s="8" t="n">
        <v>0.27</v>
      </c>
      <c r="H100" s="8" t="n">
        <v>0.2</v>
      </c>
      <c r="I100" s="8" t="n">
        <v>0.19</v>
      </c>
      <c r="J100" s="8" t="n">
        <v>5.7</v>
      </c>
      <c r="K100" s="8" t="n">
        <v>0</v>
      </c>
      <c r="L100" s="8" t="n">
        <v>13</v>
      </c>
      <c r="M100" s="8" t="n">
        <v>210</v>
      </c>
      <c r="N100" s="8" t="n">
        <v>1.8</v>
      </c>
      <c r="O100" s="9" t="n">
        <v>12.5</v>
      </c>
      <c r="P100" s="11" t="n">
        <f aca="false">ROUND(O100/10, 2)</f>
        <v>1.25</v>
      </c>
      <c r="Q100" s="10" t="n">
        <v>0</v>
      </c>
      <c r="R100" s="10" t="n">
        <f aca="false">ROUND(O100*Q100, 2)</f>
        <v>0</v>
      </c>
    </row>
    <row r="101" customFormat="false" ht="13.8" hidden="false" customHeight="false" outlineLevel="0" collapsed="false">
      <c r="A101" s="7" t="s">
        <v>120</v>
      </c>
      <c r="B101" s="8" t="n">
        <v>12.4</v>
      </c>
      <c r="C101" s="8" t="n">
        <v>19.4</v>
      </c>
      <c r="D101" s="8" t="n">
        <v>0.4</v>
      </c>
      <c r="E101" s="8" t="n">
        <v>980</v>
      </c>
      <c r="F101" s="8" t="n">
        <v>233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7</v>
      </c>
      <c r="M101" s="8" t="n">
        <v>134</v>
      </c>
      <c r="N101" s="8" t="n">
        <v>1.9</v>
      </c>
      <c r="O101" s="9" t="n">
        <v>7.8</v>
      </c>
      <c r="P101" s="11" t="n">
        <f aca="false">ROUND(O101/10, 2)</f>
        <v>0.78</v>
      </c>
      <c r="Q101" s="10" t="n">
        <v>0</v>
      </c>
      <c r="R101" s="10" t="n">
        <f aca="false">ROUND(O101*Q101, 2)</f>
        <v>0</v>
      </c>
    </row>
    <row r="102" customFormat="false" ht="13.8" hidden="false" customHeight="false" outlineLevel="0" collapsed="false">
      <c r="A102" s="7" t="s">
        <v>121</v>
      </c>
      <c r="B102" s="8" t="n">
        <v>18.8</v>
      </c>
      <c r="C102" s="8" t="n">
        <v>3.6</v>
      </c>
      <c r="D102" s="8" t="n">
        <v>0</v>
      </c>
      <c r="E102" s="8" t="n">
        <v>540</v>
      </c>
      <c r="F102" s="8" t="n">
        <v>130</v>
      </c>
      <c r="G102" s="8" t="n">
        <v>6</v>
      </c>
      <c r="H102" s="8" t="n">
        <v>0.4</v>
      </c>
      <c r="I102" s="8" t="n">
        <v>0</v>
      </c>
      <c r="J102" s="8" t="n">
        <v>0</v>
      </c>
      <c r="K102" s="8" t="n">
        <v>0</v>
      </c>
      <c r="L102" s="8" t="n">
        <v>7</v>
      </c>
      <c r="M102" s="8" t="n">
        <v>353</v>
      </c>
      <c r="N102" s="8" t="n">
        <v>12</v>
      </c>
      <c r="O102" s="9" t="n">
        <v>3.6</v>
      </c>
      <c r="P102" s="11" t="n">
        <f aca="false">ROUND(O102/10, 2)</f>
        <v>0.36</v>
      </c>
      <c r="Q102" s="10" t="n">
        <v>0</v>
      </c>
      <c r="R102" s="10" t="n">
        <f aca="false">ROUND(O102*Q102, 2)</f>
        <v>0</v>
      </c>
    </row>
    <row r="103" customFormat="false" ht="13.8" hidden="false" customHeight="false" outlineLevel="0" collapsed="false">
      <c r="A103" s="7" t="s">
        <v>122</v>
      </c>
      <c r="B103" s="8" t="n">
        <v>13.7</v>
      </c>
      <c r="C103" s="8" t="n">
        <v>27.9</v>
      </c>
      <c r="D103" s="8" t="n">
        <v>0</v>
      </c>
      <c r="E103" s="8" t="n">
        <v>1320</v>
      </c>
      <c r="F103" s="8" t="n">
        <v>316</v>
      </c>
      <c r="G103" s="8" t="n">
        <v>0</v>
      </c>
      <c r="H103" s="8" t="n">
        <v>0.34</v>
      </c>
      <c r="I103" s="8" t="n">
        <v>0</v>
      </c>
      <c r="J103" s="8" t="n">
        <v>0</v>
      </c>
      <c r="K103" s="8" t="n">
        <v>0</v>
      </c>
      <c r="L103" s="8" t="n">
        <v>7</v>
      </c>
      <c r="M103" s="8" t="n">
        <v>139</v>
      </c>
      <c r="N103" s="8" t="n">
        <v>1.9</v>
      </c>
      <c r="O103" s="9" t="n">
        <v>6.5</v>
      </c>
      <c r="P103" s="11" t="n">
        <f aca="false">ROUND(O103/10, 2)</f>
        <v>0.65</v>
      </c>
      <c r="Q103" s="10" t="n">
        <v>0</v>
      </c>
      <c r="R103" s="10" t="n">
        <f aca="false">ROUND(O103*Q103, 2)</f>
        <v>0</v>
      </c>
    </row>
    <row r="104" customFormat="false" ht="13.8" hidden="false" customHeight="false" outlineLevel="0" collapsed="false">
      <c r="A104" s="7" t="s">
        <v>123</v>
      </c>
      <c r="B104" s="8" t="n">
        <v>17.7</v>
      </c>
      <c r="C104" s="8" t="n">
        <v>38.1</v>
      </c>
      <c r="D104" s="8" t="n">
        <v>0</v>
      </c>
      <c r="E104" s="8" t="n">
        <v>1790</v>
      </c>
      <c r="F104" s="8" t="n">
        <v>427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65</v>
      </c>
      <c r="M104" s="8" t="n">
        <v>178</v>
      </c>
      <c r="N104" s="8" t="n">
        <v>5.3</v>
      </c>
      <c r="O104" s="9" t="n">
        <v>14.5</v>
      </c>
      <c r="P104" s="11" t="n">
        <f aca="false">ROUND(O104/10, 2)</f>
        <v>1.45</v>
      </c>
      <c r="Q104" s="10" t="n">
        <v>0</v>
      </c>
      <c r="R104" s="10" t="n">
        <f aca="false">ROUND(O104*Q104, 2)</f>
        <v>0</v>
      </c>
    </row>
    <row r="105" customFormat="false" ht="13.8" hidden="false" customHeight="false" outlineLevel="0" collapsed="false">
      <c r="A105" s="7" t="s">
        <v>124</v>
      </c>
      <c r="B105" s="8" t="n">
        <v>17.4</v>
      </c>
      <c r="C105" s="8" t="n">
        <v>3.1</v>
      </c>
      <c r="D105" s="8" t="n">
        <v>0</v>
      </c>
      <c r="E105" s="8" t="n">
        <v>510</v>
      </c>
      <c r="F105" s="8" t="n">
        <v>122</v>
      </c>
      <c r="G105" s="8" t="n">
        <v>15</v>
      </c>
      <c r="H105" s="8" t="n">
        <v>0.4</v>
      </c>
      <c r="I105" s="8" t="n">
        <v>1.61</v>
      </c>
      <c r="J105" s="8" t="n">
        <v>15.3</v>
      </c>
      <c r="K105" s="8" t="n">
        <v>25</v>
      </c>
      <c r="L105" s="8" t="n">
        <v>5</v>
      </c>
      <c r="M105" s="8" t="n">
        <v>340</v>
      </c>
      <c r="N105" s="8" t="n">
        <v>9</v>
      </c>
      <c r="O105" s="9" t="n">
        <v>3</v>
      </c>
      <c r="P105" s="11" t="n">
        <f aca="false">ROUND(O105/10, 2)</f>
        <v>0.3</v>
      </c>
      <c r="Q105" s="10" t="n">
        <v>0</v>
      </c>
      <c r="R105" s="10" t="n">
        <f aca="false">ROUND(O105*Q105, 2)</f>
        <v>0</v>
      </c>
    </row>
    <row r="106" customFormat="false" ht="13.8" hidden="false" customHeight="false" outlineLevel="0" collapsed="false">
      <c r="A106" s="7" t="s">
        <v>125</v>
      </c>
      <c r="B106" s="8" t="n">
        <v>9</v>
      </c>
      <c r="C106" s="8" t="n">
        <v>9.5</v>
      </c>
      <c r="D106" s="8" t="n">
        <v>0</v>
      </c>
      <c r="E106" s="8" t="n">
        <v>520</v>
      </c>
      <c r="F106" s="8" t="n">
        <v>125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6</v>
      </c>
      <c r="M106" s="8" t="n">
        <v>311</v>
      </c>
      <c r="N106" s="8" t="n">
        <v>6</v>
      </c>
      <c r="O106" s="9" t="n">
        <v>5</v>
      </c>
      <c r="P106" s="11" t="n">
        <f aca="false">ROUND(O106/10, 2)</f>
        <v>0.5</v>
      </c>
      <c r="Q106" s="10" t="n">
        <v>0</v>
      </c>
      <c r="R106" s="10" t="n">
        <f aca="false">ROUND(O106*Q106, 2)</f>
        <v>0</v>
      </c>
    </row>
    <row r="107" customFormat="false" ht="13.8" hidden="false" customHeight="false" outlineLevel="0" collapsed="false">
      <c r="A107" s="7" t="s">
        <v>126</v>
      </c>
      <c r="B107" s="8" t="n">
        <v>17</v>
      </c>
      <c r="C107" s="8" t="n">
        <v>35</v>
      </c>
      <c r="D107" s="8" t="n">
        <v>0</v>
      </c>
      <c r="E107" s="8" t="n">
        <v>1650</v>
      </c>
      <c r="F107" s="8" t="n">
        <v>395</v>
      </c>
      <c r="G107" s="8" t="n">
        <v>0</v>
      </c>
      <c r="H107" s="8" t="n">
        <v>0.7</v>
      </c>
      <c r="I107" s="8" t="n">
        <v>0.19</v>
      </c>
      <c r="J107" s="8" t="n">
        <v>0</v>
      </c>
      <c r="K107" s="8" t="n">
        <v>0</v>
      </c>
      <c r="L107" s="8" t="n">
        <v>10</v>
      </c>
      <c r="M107" s="8" t="n">
        <v>110</v>
      </c>
      <c r="N107" s="8" t="n">
        <v>2.1</v>
      </c>
      <c r="O107" s="9" t="n">
        <v>4</v>
      </c>
      <c r="P107" s="11" t="n">
        <f aca="false">ROUND(O107/10, 2)</f>
        <v>0.4</v>
      </c>
      <c r="Q107" s="10" t="n">
        <v>0</v>
      </c>
      <c r="R107" s="10" t="n">
        <f aca="false">ROUND(O107*Q107, 2)</f>
        <v>0</v>
      </c>
    </row>
    <row r="108" customFormat="false" ht="13.8" hidden="false" customHeight="false" outlineLevel="0" collapsed="false">
      <c r="A108" s="7" t="s">
        <v>127</v>
      </c>
      <c r="B108" s="8" t="n">
        <v>45</v>
      </c>
      <c r="C108" s="8" t="n">
        <v>4.8</v>
      </c>
      <c r="D108" s="8" t="n">
        <v>0.2</v>
      </c>
      <c r="E108" s="8" t="n">
        <v>266</v>
      </c>
      <c r="F108" s="8" t="n">
        <v>63.5</v>
      </c>
      <c r="G108" s="8" t="n">
        <v>0.3</v>
      </c>
      <c r="H108" s="8" t="n">
        <v>0.07</v>
      </c>
      <c r="I108" s="8" t="n">
        <v>0.345</v>
      </c>
      <c r="J108" s="8" t="n">
        <v>0.1</v>
      </c>
      <c r="K108" s="8" t="n">
        <v>0</v>
      </c>
      <c r="L108" s="8" t="n">
        <v>20</v>
      </c>
      <c r="M108" s="8" t="n">
        <v>92</v>
      </c>
      <c r="N108" s="8" t="n">
        <v>1.1</v>
      </c>
      <c r="O108" s="9" t="n">
        <v>3.5</v>
      </c>
      <c r="P108" s="11" t="n">
        <f aca="false">ROUND(O108/10, 2)</f>
        <v>0.35</v>
      </c>
      <c r="Q108" s="10" t="n">
        <v>0</v>
      </c>
      <c r="R108" s="10" t="n">
        <f aca="false">ROUND(O108*Q108, 2)</f>
        <v>0</v>
      </c>
    </row>
    <row r="109" customFormat="false" ht="13.8" hidden="false" customHeight="false" outlineLevel="0" collapsed="false">
      <c r="A109" s="7" t="s">
        <v>128</v>
      </c>
      <c r="B109" s="8" t="n">
        <v>44</v>
      </c>
      <c r="C109" s="8" t="n">
        <v>42.2</v>
      </c>
      <c r="D109" s="8" t="n">
        <v>1.8</v>
      </c>
      <c r="E109" s="8" t="n">
        <v>2420</v>
      </c>
      <c r="F109" s="8" t="n">
        <v>579</v>
      </c>
      <c r="G109" s="8" t="n">
        <v>1.34</v>
      </c>
      <c r="H109" s="8" t="n">
        <v>0.35</v>
      </c>
      <c r="I109" s="8" t="n">
        <v>1.23</v>
      </c>
      <c r="J109" s="8" t="n">
        <v>0.2</v>
      </c>
      <c r="K109" s="8" t="n">
        <v>0</v>
      </c>
      <c r="L109" s="8" t="n">
        <v>186</v>
      </c>
      <c r="M109" s="8" t="n">
        <v>786</v>
      </c>
      <c r="N109" s="8" t="n">
        <v>9.3</v>
      </c>
      <c r="O109" s="9" t="n">
        <v>22</v>
      </c>
      <c r="P109" s="11" t="n">
        <f aca="false">ROUND(O109/10, 2)</f>
        <v>2.2</v>
      </c>
      <c r="Q109" s="10" t="n">
        <v>0</v>
      </c>
      <c r="R109" s="10" t="n">
        <f aca="false">ROUND(O109*Q109, 2)</f>
        <v>0</v>
      </c>
    </row>
    <row r="110" customFormat="false" ht="13.8" hidden="false" customHeight="false" outlineLevel="0" collapsed="false">
      <c r="A110" s="7" t="s">
        <v>129</v>
      </c>
      <c r="B110" s="8" t="n">
        <v>16</v>
      </c>
      <c r="C110" s="8" t="n">
        <v>3.6</v>
      </c>
      <c r="D110" s="8" t="n">
        <v>0</v>
      </c>
      <c r="E110" s="8" t="n">
        <v>414</v>
      </c>
      <c r="F110" s="8" t="n">
        <v>99</v>
      </c>
      <c r="G110" s="8" t="n">
        <v>0.03</v>
      </c>
      <c r="H110" s="8" t="n">
        <v>0.08</v>
      </c>
      <c r="I110" s="8" t="n">
        <v>0.21</v>
      </c>
      <c r="J110" s="8" t="n">
        <v>2.7</v>
      </c>
      <c r="K110" s="8" t="n">
        <v>0</v>
      </c>
      <c r="L110" s="8" t="n">
        <v>17</v>
      </c>
      <c r="M110" s="8" t="n">
        <v>184</v>
      </c>
      <c r="N110" s="8" t="n">
        <v>0.9</v>
      </c>
      <c r="O110" s="9" t="n">
        <v>8.5</v>
      </c>
      <c r="P110" s="11" t="n">
        <f aca="false">ROUND(O110/10, 2)</f>
        <v>0.85</v>
      </c>
      <c r="Q110" s="10" t="n">
        <v>0</v>
      </c>
      <c r="R110" s="10" t="n">
        <f aca="false">ROUND(O110*Q110, 2)</f>
        <v>0</v>
      </c>
    </row>
    <row r="111" customFormat="false" ht="13.8" hidden="false" customHeight="false" outlineLevel="0" collapsed="false">
      <c r="A111" s="7" t="s">
        <v>130</v>
      </c>
      <c r="B111" s="8" t="n">
        <v>18.8</v>
      </c>
      <c r="C111" s="8" t="n">
        <v>0.7</v>
      </c>
      <c r="D111" s="8" t="n">
        <v>0</v>
      </c>
      <c r="E111" s="8" t="n">
        <v>352</v>
      </c>
      <c r="F111" s="8" t="n">
        <v>84</v>
      </c>
      <c r="G111" s="8" t="n">
        <v>0</v>
      </c>
      <c r="H111" s="8" t="n">
        <v>0.06</v>
      </c>
      <c r="I111" s="8" t="n">
        <v>0.08</v>
      </c>
      <c r="J111" s="8" t="n">
        <v>2.2</v>
      </c>
      <c r="K111" s="8" t="n">
        <v>0</v>
      </c>
      <c r="L111" s="8" t="n">
        <v>50</v>
      </c>
      <c r="M111" s="8" t="n">
        <v>207</v>
      </c>
      <c r="N111" s="8" t="n">
        <v>0.8</v>
      </c>
      <c r="O111" s="9" t="n">
        <v>7.8</v>
      </c>
      <c r="P111" s="11" t="n">
        <f aca="false">ROUND(O111/10, 2)</f>
        <v>0.78</v>
      </c>
      <c r="Q111" s="10" t="n">
        <v>0</v>
      </c>
      <c r="R111" s="10" t="n">
        <f aca="false">ROUND(O111*Q111, 2)</f>
        <v>0</v>
      </c>
    </row>
    <row r="112" customFormat="false" ht="13.8" hidden="false" customHeight="false" outlineLevel="0" collapsed="false">
      <c r="A112" s="7" t="s">
        <v>131</v>
      </c>
      <c r="B112" s="8" t="n">
        <v>17.6</v>
      </c>
      <c r="C112" s="8" t="n">
        <v>0.4</v>
      </c>
      <c r="D112" s="8" t="n">
        <v>0</v>
      </c>
      <c r="E112" s="8" t="n">
        <v>318</v>
      </c>
      <c r="F112" s="8" t="n">
        <v>76</v>
      </c>
      <c r="G112" s="8" t="n">
        <v>0</v>
      </c>
      <c r="H112" s="8" t="n">
        <v>0.08</v>
      </c>
      <c r="I112" s="8" t="n">
        <v>0.1</v>
      </c>
      <c r="J112" s="8" t="n">
        <v>1.5</v>
      </c>
      <c r="K112" s="8" t="n">
        <v>0</v>
      </c>
      <c r="L112" s="8" t="n">
        <v>57</v>
      </c>
      <c r="M112" s="8" t="n">
        <v>222</v>
      </c>
      <c r="N112" s="8" t="n">
        <v>0.7</v>
      </c>
      <c r="O112" s="9" t="n">
        <v>9.5</v>
      </c>
      <c r="P112" s="11" t="n">
        <f aca="false">ROUND(O112/10, 2)</f>
        <v>0.95</v>
      </c>
      <c r="Q112" s="10" t="n">
        <v>0</v>
      </c>
      <c r="R112" s="10" t="n">
        <f aca="false">ROUND(O112*Q112, 2)</f>
        <v>0</v>
      </c>
    </row>
    <row r="113" customFormat="false" ht="13.8" hidden="false" customHeight="false" outlineLevel="0" collapsed="false">
      <c r="A113" s="7" t="s">
        <v>132</v>
      </c>
      <c r="B113" s="8" t="n">
        <v>19</v>
      </c>
      <c r="C113" s="8" t="n">
        <v>0.8</v>
      </c>
      <c r="D113" s="8" t="n">
        <v>0</v>
      </c>
      <c r="E113" s="8" t="n">
        <v>356</v>
      </c>
      <c r="F113" s="8" t="n">
        <v>85</v>
      </c>
      <c r="G113" s="8" t="n">
        <v>0</v>
      </c>
      <c r="H113" s="8" t="n">
        <v>0.4</v>
      </c>
      <c r="I113" s="8" t="n">
        <v>0.11</v>
      </c>
      <c r="J113" s="8" t="n">
        <v>0</v>
      </c>
      <c r="K113" s="8" t="n">
        <v>0</v>
      </c>
      <c r="L113" s="8" t="n">
        <v>27</v>
      </c>
      <c r="M113" s="8" t="n">
        <v>219</v>
      </c>
      <c r="N113" s="8" t="n">
        <v>1</v>
      </c>
      <c r="O113" s="9" t="n">
        <v>14.5</v>
      </c>
      <c r="P113" s="11" t="n">
        <f aca="false">ROUND(O113/10, 2)</f>
        <v>1.45</v>
      </c>
      <c r="Q113" s="10" t="n">
        <v>0</v>
      </c>
      <c r="R113" s="10" t="n">
        <f aca="false">ROUND(O113*Q113, 2)</f>
        <v>0</v>
      </c>
    </row>
    <row r="114" customFormat="false" ht="13.8" hidden="false" customHeight="false" outlineLevel="0" collapsed="false">
      <c r="A114" s="7" t="s">
        <v>133</v>
      </c>
      <c r="B114" s="8" t="n">
        <v>31.6</v>
      </c>
      <c r="C114" s="8" t="n">
        <v>13.8</v>
      </c>
      <c r="D114" s="8" t="n">
        <v>0</v>
      </c>
      <c r="E114" s="8" t="n">
        <v>1080</v>
      </c>
      <c r="F114" s="8" t="n">
        <v>258</v>
      </c>
      <c r="G114" s="8" t="n">
        <v>0.45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90</v>
      </c>
      <c r="M114" s="8" t="n">
        <v>490</v>
      </c>
      <c r="N114" s="8" t="n">
        <v>1.8</v>
      </c>
      <c r="O114" s="9" t="n">
        <v>85</v>
      </c>
      <c r="P114" s="11" t="n">
        <f aca="false">ROUND(O114/10, 2)</f>
        <v>8.5</v>
      </c>
      <c r="Q114" s="10" t="n">
        <v>0</v>
      </c>
      <c r="R114" s="10" t="n">
        <f aca="false">ROUND(O114*Q114, 2)</f>
        <v>0</v>
      </c>
    </row>
    <row r="115" customFormat="false" ht="13.8" hidden="false" customHeight="false" outlineLevel="0" collapsed="false">
      <c r="A115" s="7" t="s">
        <v>134</v>
      </c>
      <c r="B115" s="8" t="n">
        <v>6.3</v>
      </c>
      <c r="C115" s="8" t="n">
        <v>4.2</v>
      </c>
      <c r="D115" s="8" t="n">
        <v>0</v>
      </c>
      <c r="E115" s="8" t="n">
        <v>272</v>
      </c>
      <c r="F115" s="8" t="n">
        <v>65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133</v>
      </c>
      <c r="M115" s="8" t="n">
        <v>124</v>
      </c>
      <c r="N115" s="8" t="n">
        <v>0</v>
      </c>
      <c r="O115" s="9" t="n">
        <v>4.5</v>
      </c>
      <c r="P115" s="11" t="n">
        <f aca="false">ROUND(O115/10, 2)</f>
        <v>0.45</v>
      </c>
      <c r="Q115" s="10" t="n">
        <v>0</v>
      </c>
      <c r="R115" s="10" t="n">
        <f aca="false">ROUND(O115*Q115, 2)</f>
        <v>0</v>
      </c>
    </row>
    <row r="116" customFormat="false" ht="13.8" hidden="false" customHeight="false" outlineLevel="0" collapsed="false">
      <c r="A116" s="7" t="s">
        <v>135</v>
      </c>
      <c r="B116" s="8" t="n">
        <v>12.4</v>
      </c>
      <c r="C116" s="8" t="n">
        <v>13.5</v>
      </c>
      <c r="D116" s="8" t="n">
        <v>0</v>
      </c>
      <c r="E116" s="8" t="n">
        <v>737</v>
      </c>
      <c r="F116" s="8" t="n">
        <v>176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16</v>
      </c>
      <c r="M116" s="8" t="n">
        <v>169</v>
      </c>
      <c r="N116" s="8" t="n">
        <v>0.8</v>
      </c>
      <c r="O116" s="9" t="n">
        <v>32</v>
      </c>
      <c r="P116" s="11" t="n">
        <f aca="false">ROUND(O116/10, 2)</f>
        <v>3.2</v>
      </c>
      <c r="Q116" s="10" t="n">
        <v>0</v>
      </c>
      <c r="R116" s="10" t="n">
        <f aca="false">ROUND(O116*Q116, 2)</f>
        <v>0</v>
      </c>
    </row>
    <row r="117" customFormat="false" ht="13.8" hidden="false" customHeight="false" outlineLevel="0" collapsed="false">
      <c r="A117" s="7" t="s">
        <v>136</v>
      </c>
      <c r="B117" s="8" t="n">
        <v>19</v>
      </c>
      <c r="C117" s="8" t="n">
        <v>6.2</v>
      </c>
      <c r="D117" s="8" t="n">
        <v>0</v>
      </c>
      <c r="E117" s="8" t="n">
        <v>565</v>
      </c>
      <c r="F117" s="8" t="n">
        <v>135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119</v>
      </c>
      <c r="M117" s="8" t="n">
        <v>179</v>
      </c>
      <c r="N117" s="8" t="n">
        <v>3.1</v>
      </c>
      <c r="O117" s="9" t="n">
        <v>5.5</v>
      </c>
      <c r="P117" s="11" t="n">
        <f aca="false">ROUND(O117/10, 2)</f>
        <v>0.55</v>
      </c>
      <c r="Q117" s="10" t="n">
        <v>0</v>
      </c>
      <c r="R117" s="10" t="n">
        <f aca="false">ROUND(O117*Q117, 2)</f>
        <v>0</v>
      </c>
    </row>
    <row r="118" customFormat="false" ht="13.8" hidden="false" customHeight="false" outlineLevel="0" collapsed="false">
      <c r="A118" s="7" t="s">
        <v>137</v>
      </c>
      <c r="B118" s="8" t="n">
        <v>14.7</v>
      </c>
      <c r="C118" s="8" t="n">
        <v>30.4</v>
      </c>
      <c r="D118" s="8" t="n">
        <v>0.4</v>
      </c>
      <c r="E118" s="8" t="n">
        <v>1440</v>
      </c>
      <c r="F118" s="8" t="n">
        <v>345</v>
      </c>
      <c r="G118" s="8" t="n">
        <v>0</v>
      </c>
      <c r="H118" s="8" t="n">
        <v>0</v>
      </c>
      <c r="I118" s="8" t="n">
        <v>0.12</v>
      </c>
      <c r="J118" s="8" t="n">
        <v>1</v>
      </c>
      <c r="K118" s="8" t="n">
        <v>0</v>
      </c>
      <c r="L118" s="8" t="n">
        <v>297</v>
      </c>
      <c r="M118" s="8" t="n">
        <v>348</v>
      </c>
      <c r="N118" s="8" t="n">
        <v>0</v>
      </c>
      <c r="O118" s="9" t="n">
        <v>10.5</v>
      </c>
      <c r="P118" s="11" t="n">
        <f aca="false">ROUND(O118/10, 2)</f>
        <v>1.05</v>
      </c>
      <c r="Q118" s="10" t="n">
        <v>0</v>
      </c>
      <c r="R118" s="10" t="n">
        <f aca="false">ROUND(O118*Q118, 2)</f>
        <v>0</v>
      </c>
    </row>
    <row r="119" customFormat="false" ht="13.8" hidden="false" customHeight="false" outlineLevel="0" collapsed="false">
      <c r="A119" s="12" t="s">
        <v>138</v>
      </c>
      <c r="B119" s="13" t="n">
        <v>96</v>
      </c>
      <c r="C119" s="13" t="n">
        <v>90</v>
      </c>
      <c r="D119" s="13" t="n">
        <v>383</v>
      </c>
      <c r="E119" s="13" t="n">
        <f aca="false">F119*4.184</f>
        <v>10041.6</v>
      </c>
      <c r="F119" s="13" t="n">
        <v>2400</v>
      </c>
      <c r="G119" s="13" t="s">
        <v>139</v>
      </c>
      <c r="H119" s="13" t="s">
        <v>139</v>
      </c>
      <c r="I119" s="13" t="s">
        <v>140</v>
      </c>
      <c r="J119" s="13" t="s">
        <v>141</v>
      </c>
      <c r="K119" s="13" t="s">
        <v>142</v>
      </c>
      <c r="L119" s="13" t="s">
        <v>143</v>
      </c>
      <c r="M119" s="13" t="n">
        <v>1000</v>
      </c>
      <c r="N119" s="13" t="s">
        <v>141</v>
      </c>
      <c r="O119" s="8"/>
      <c r="P119" s="8"/>
      <c r="Q119" s="10"/>
      <c r="R119" s="10"/>
    </row>
    <row r="120" customFormat="false" ht="13.8" hidden="false" customHeight="false" outlineLevel="0" collapsed="false">
      <c r="A120" s="14" t="s">
        <v>144</v>
      </c>
      <c r="B120" s="10" t="n">
        <f aca="false">ROUND(B3*$Q$3+B4*$Q$4+B5*$Q$5+B6*$Q$6+B7*$Q$7+B8*$Q$8+B9*$Q$9+B10*$Q$10+B11*$Q$11+B12*$Q$12+B13*$Q$13+B14*$Q$14+B15*$Q$15+B16*$Q$16+B17*$Q$17+B18*$Q$18+B19*$Q$19+B20*$Q$20+B21*$Q$21+B22*$Q$22+B23*$Q$23+B24*$Q$24+B25*$Q$25+B26*$Q$26+B27*$Q$27+B28*$Q$28+B29*$Q$29+B30*$Q$30+B31*$Q$31+B32*$Q$32+B33*$Q$33+B34*$Q$34+B35*$Q$35+B36*$Q$36+B37*$Q$37+B38*$Q$38+B39*$Q$39+B40*$Q$40+B41*$Q$41+B42*$Q$42+B43*$Q$43+B44*$Q$44+B45*$Q$45+B46*$Q$46+B47*$Q$47+B48*$Q$48+B49*$Q$49+B50*$Q$50+B51*$Q$51+B52*$Q$52+B53*$Q$53+B54*$Q$54+B55*$Q$55+B56*$Q$56+B57*$Q$57+B58*$Q$58+B59*$Q$59+B60*$Q$60+B61*$Q$61+B62*$Q$62+B63*$Q$63+B64*$Q$64+B65*$Q$65+B66*$Q$66+B67*$Q$67+B68*$Q$68+B69*$Q$69+B70*$Q$70+B71*$Q$71+B72*$Q$72+B73*$Q$73+B74*$Q$74+B75*$Q$75+B76*$Q$76+B77*$Q$77+B78*$Q$78+B79*$Q$79+B80*$Q$80+B81*$Q$81+B82*$Q$82+B83*$Q$83+B84*$Q$84+B85*$Q$85+B86*$Q$86+B87*$Q$87+B88*$Q$88+B89*$Q$89+B90*$Q$90+B91*$Q$91+B92*$Q$92+B93*$Q$93+B94*$Q$94+B95*$Q$95+B96*$Q$96+B97*$Q$97+B98*$Q$98+B99*$Q$99+B100*$Q$100+B101*$Q$101+B102*$Q$102+B103*$Q$103+B104*$Q$104+B105*$Q$105+B106*$Q$106+B107*$Q$107+B108*$Q$108+B109*$Q$109+B110*$Q$110+B111*$Q$111+B112*$Q$112+B113*$Q$113+B114*$Q$114+B115*$Q$115+B116*$Q$116+B117*$Q$117+B118*$Q$118, 2)</f>
        <v>96</v>
      </c>
      <c r="C120" s="10" t="n">
        <f aca="false">ROUND(C3*$Q$3+C4*$Q$4+C5*$Q$5+C6*$Q$6+C7*$Q$7+C8*$Q$8+C9*$Q$9+C10*$Q$10+C11*$Q$11+C12*$Q$12+C13*$Q$13+C14*$Q$14+C15*$Q$15+C16*$Q$16+C17*$Q$17+C18*$Q$18+C19*$Q$19+C20*$Q$20+C21*$Q$21+C22*$Q$22+C23*$Q$23+C24*$Q$24+C25*$Q$25+C26*$Q$26+C27*$Q$27+C28*$Q$28+C29*$Q$29+C30*$Q$30+C31*$Q$31+C32*$Q$32+C33*$Q$33+C34*$Q$34+C35*$Q$35+C36*$Q$36+C37*$Q$37+C38*$Q$38+C39*$Q$39+C40*$Q$40+C41*$Q$41+C42*$Q$42+C43*$Q$43+C44*$Q$44+C45*$Q$45+C46*$Q$46+C47*$Q$47+C48*$Q$48+C49*$Q$49+C50*$Q$50+C51*$Q$51+C52*$Q$52+C53*$Q$53+C54*$Q$54+C55*$Q$55+C56*$Q$56+C57*$Q$57+C58*$Q$58+C59*$Q$59+C60*$Q$60+C61*$Q$61+C62*$Q$62+C63*$Q$63+C64*$Q$64+C65*$Q$65+C66*$Q$66+C67*$Q$67+C68*$Q$68+C69*$Q$69+C70*$Q$70+C71*$Q$71+C72*$Q$72+C73*$Q$73+C74*$Q$74+C75*$Q$75+C76*$Q$76+C77*$Q$77+C78*$Q$78+C79*$Q$79+C80*$Q$80+C81*$Q$81+C82*$Q$82+C83*$Q$83+C84*$Q$84+C85*$Q$85+C86*$Q$86+C87*$Q$87+C88*$Q$88+C89*$Q$89+C90*$Q$90+C91*$Q$91+C92*$Q$92+C93*$Q$93+C94*$Q$94+C95*$Q$95+C96*$Q$96+C97*$Q$97+C98*$Q$98+C99*$Q$99+C100*$Q$100+C101*$Q$101+C102*$Q$102+C103*$Q$103+C104*$Q$104+C105*$Q$105+C106*$Q$106+C107*$Q$107+C108*$Q$108+C109*$Q$109+C110*$Q$110+C111*$Q$111+C112*$Q$112+C113*$Q$113+C114*$Q$114+C115*$Q$115+C116*$Q$116+C117*$Q$117+C118*$Q$118, 2)</f>
        <v>90</v>
      </c>
      <c r="D120" s="10" t="n">
        <f aca="false">ROUND(D3*$Q$3+D4*$Q$4+D5*$Q$5+D6*$Q$6+D7*$Q$7+D8*$Q$8+D9*$Q$9+D10*$Q$10+D11*$Q$11+D12*$Q$12+D13*$Q$13+D14*$Q$14+D15*$Q$15+D16*$Q$16+D17*$Q$17+D18*$Q$18+D19*$Q$19+D20*$Q$20+D21*$Q$21+D22*$Q$22+D23*$Q$23+D24*$Q$24+D25*$Q$25+D26*$Q$26+D27*$Q$27+D28*$Q$28+D29*$Q$29+D30*$Q$30+D31*$Q$31+D32*$Q$32+D33*$Q$33+D34*$Q$34+D35*$Q$35+D36*$Q$36+D37*$Q$37+D38*$Q$38+D39*$Q$39+D40*$Q$40+D41*$Q$41+D42*$Q$42+D43*$Q$43+D44*$Q$44+D45*$Q$45+D46*$Q$46+D47*$Q$47+D48*$Q$48+D49*$Q$49+D50*$Q$50+D51*$Q$51+D52*$Q$52+D53*$Q$53+D54*$Q$54+D55*$Q$55+D56*$Q$56+D57*$Q$57+D58*$Q$58+D59*$Q$59+D60*$Q$60+D61*$Q$61+D62*$Q$62+D63*$Q$63+D64*$Q$64+D65*$Q$65+D66*$Q$66+D67*$Q$67+D68*$Q$68+D69*$Q$69+D70*$Q$70+D71*$Q$71+D72*$Q$72+D73*$Q$73+D74*$Q$74+D75*$Q$75+D76*$Q$76+D77*$Q$77+D78*$Q$78+D79*$Q$79+D80*$Q$80+D81*$Q$81+D82*$Q$82+D83*$Q$83+D84*$Q$84+D85*$Q$85+D86*$Q$86+D87*$Q$87+D88*$Q$88+D89*$Q$89+D90*$Q$90+D91*$Q$91+D92*$Q$92+D93*$Q$93+D94*$Q$94+D95*$Q$95+D96*$Q$96+D97*$Q$97+D98*$Q$98+D99*$Q$99+D100*$Q$100+D101*$Q$101+D102*$Q$102+D103*$Q$103+D104*$Q$104+D105*$Q$105+D106*$Q$106+D107*$Q$107+D108*$Q$108+D109*$Q$109+D110*$Q$110+D111*$Q$111+D112*$Q$112+D113*$Q$113+D114*$Q$114+D115*$Q$115+D116*$Q$116+D117*$Q$117+D118*$Q$118, 2)</f>
        <v>383</v>
      </c>
      <c r="E120" s="10"/>
      <c r="F120" s="10" t="n">
        <f aca="false">ROUND(F3*$Q$3+F4*$Q$4+F5*$Q$5+F6*$Q$6+F7*$Q$7+F8*$Q$8+F9*$Q$9+F10*$Q$10+F11*$Q$11+F12*$Q$12+F13*$Q$13+F14*$Q$14+F15*$Q$15+F16*$Q$16+F17*$Q$17+F18*$Q$18+F19*$Q$19+F20*$Q$20+F21*$Q$21+F22*$Q$22+F23*$Q$23+F24*$Q$24+F25*$Q$25+F26*$Q$26+F27*$Q$27+F28*$Q$28+F29*$Q$29+F30*$Q$30+F31*$Q$31+F32*$Q$32+F33*$Q$33+F34*$Q$34+F35*$Q$35+F36*$Q$36+F37*$Q$37+F38*$Q$38+F39*$Q$39+F40*$Q$40+F41*$Q$41+F42*$Q$42+F43*$Q$43+F44*$Q$44+F45*$Q$45+F46*$Q$46+F47*$Q$47+F48*$Q$48+F49*$Q$49+F50*$Q$50+F51*$Q$51+F52*$Q$52+F53*$Q$53+F54*$Q$54+F55*$Q$55+F56*$Q$56+F57*$Q$57+F58*$Q$58+F59*$Q$59+F60*$Q$60+F61*$Q$61+F62*$Q$62+F63*$Q$63+F64*$Q$64+F65*$Q$65+F66*$Q$66+F67*$Q$67+F68*$Q$68+F69*$Q$69+F70*$Q$70+F71*$Q$71+F72*$Q$72+F73*$Q$73+F74*$Q$74+F75*$Q$75+F76*$Q$76+F77*$Q$77+F78*$Q$78+F79*$Q$79+F80*$Q$80+F81*$Q$81+F82*$Q$82+F83*$Q$83+F84*$Q$84+F85*$Q$85+F86*$Q$86+F87*$Q$87+F88*$Q$88+F89*$Q$89+F90*$Q$90+F91*$Q$91+F92*$Q$92+F93*$Q$93+F94*$Q$94+F95*$Q$95+F96*$Q$96+F97*$Q$97+F98*$Q$98+F99*$Q$99+F100*$Q$100+F101*$Q$101+F102*$Q$102+F103*$Q$103+F104*$Q$104+F105*$Q$105+F106*$Q$106+F107*$Q$107+F108*$Q$108+F109*$Q$109+F110*$Q$110+F111*$Q$111+F112*$Q$112+F113*$Q$113+F114*$Q$114+F115*$Q$115+F116*$Q$116+F117*$Q$117+F118*$Q$118, 2)</f>
        <v>2800.55</v>
      </c>
      <c r="G120" s="10" t="n">
        <f aca="false">ROUND(G77*$Q$77+G78*$Q$78+G79*$Q$79+G80*$Q$80+G81*$Q$81+G82*$Q$82+G83*$Q$83+G84*$Q$84+G85*$Q$85+G86*$Q$86+G87*$Q$87+G88*$Q$88+G89*$Q$89+G90*$Q$90+G91*$Q$91+G92*$Q$92+G93*$Q$93+G94*$Q$94+G95*$Q$95+G96*$Q$96+G97*$Q$97+G98*$Q$98+G99*$Q$99+G100*$Q$100+G101*$Q$101+G102*$Q$102+G103*$Q$103+G104*$Q$104+G105*$Q$105+G106*$Q$106+G107*$Q$107+G108*$Q$108+G109*$Q$109+G110*$Q$110+G111*$Q$111+G112*$Q$112+G113*$Q$113+G114*$Q$114, 2)</f>
        <v>0</v>
      </c>
      <c r="H120" s="10" t="n">
        <f aca="false">ROUND(H3*$Q$3+H4*$Q$4+H5*$Q$5+H6*$Q$6+H7*$Q$7+H8*$Q$8+H9*$Q$9+H10*$Q$10+H11*$Q$11+H12*$Q$12+H13*$Q$13+H14*$Q$14+H15*$Q$15+H16*$Q$16+H17*$Q$17+H18*$Q$18+H19*$Q$19+H20*$Q$20+H21*$Q$21+H22*$Q$22+H23*$Q$23+H24*$Q$24+H25*$Q$25+H26*$Q$26+H27*$Q$27+H28*$Q$28+H29*$Q$29+H30*$Q$30+H31*$Q$31+H32*$Q$32+H33*$Q$33+H34*$Q$34+H35*$Q$35+H36*$Q$36+H37*$Q$37+H38*$Q$38+H39*$Q$39+H40*$Q$40+H41*$Q$41+H42*$Q$42+H43*$Q$43+H44*$Q$44+H45*$Q$45+H46*$Q$46+H47*$Q$47+H48*$Q$48+H49*$Q$49+H50*$Q$50+H51*$Q$51+H52*$Q$52+H53*$Q$53+H54*$Q$54+H55*$Q$55+H56*$Q$56+H57*$Q$57+H58*$Q$58+H59*$Q$59+H60*$Q$60+H61*$Q$61+H62*$Q$62+H63*$Q$63+H64*$Q$64+H65*$Q$65+H66*$Q$66+H67*$Q$67+H68*$Q$68+H69*$Q$69+H70*$Q$70+H71*$Q$71+H72*$Q$72+H73*$Q$73+H74*$Q$74+H75*$Q$75+H76*$Q$76+H77*$Q$77+H78*$Q$78+H79*$Q$79+H80*$Q$80+H81*$Q$81+H82*$Q$82+H83*$Q$83+H84*$Q$84+H85*$Q$85+H86*$Q$86+H87*$Q$87+H88*$Q$88+H89*$Q$89+H90*$Q$90+H91*$Q$91+H92*$Q$92+H93*$Q$93+H94*$Q$94+H95*$Q$95+H96*$Q$96+H97*$Q$97+H98*$Q$98+H99*$Q$99+H100*$Q$100+H101*$Q$101+H102*$Q$102+H103*$Q$103+H104*$Q$104+H105*$Q$105+H106*$Q$106+H107*$Q$107+H108*$Q$108+H109*$Q$109+H110*$Q$110+H111*$Q$111+H112*$Q$112+H113*$Q$113+H114*$Q$114+H115*$Q$115+H116*$Q$116+H117*$Q$117+H118*$Q$118, 2)</f>
        <v>2.65</v>
      </c>
      <c r="I120" s="10" t="n">
        <f aca="false">ROUND(I3*$Q$3+I4*$Q$4+I5*$Q$5+I6*$Q$6+I7*$Q$7+I8*$Q$8+I9*$Q$9+I10*$Q$10+I11*$Q$11+I12*$Q$12+I13*$Q$13+I14*$Q$14+I15*$Q$15+I16*$Q$16+I17*$Q$17+I18*$Q$18+I19*$Q$19+I20*$Q$20+I21*$Q$21+I22*$Q$22+I23*$Q$23+I24*$Q$24+I25*$Q$25+I26*$Q$26+I27*$Q$27+I28*$Q$28+I29*$Q$29+I30*$Q$30+I31*$Q$31+I32*$Q$32+I33*$Q$33+I34*$Q$34+I35*$Q$35+I36*$Q$36+I37*$Q$37+I38*$Q$38+I39*$Q$39+I40*$Q$40+I41*$Q$41+I42*$Q$42+I43*$Q$43+I44*$Q$44+I45*$Q$45+I46*$Q$46+I47*$Q$47+I48*$Q$48+I49*$Q$49+I50*$Q$50+I51*$Q$51+I52*$Q$52+I53*$Q$53+I54*$Q$54+I55*$Q$55+I56*$Q$56+I57*$Q$57+I58*$Q$58+I59*$Q$59+I60*$Q$60+I61*$Q$61+I62*$Q$62+I63*$Q$63+I64*$Q$64+I65*$Q$65+I66*$Q$66+I67*$Q$67+I68*$Q$68+I69*$Q$69+I70*$Q$70+I71*$Q$71+I72*$Q$72+I73*$Q$73+I74*$Q$74+I75*$Q$75+I76*$Q$76+I77*$Q$77+I78*$Q$78+I79*$Q$79+I80*$Q$80+I81*$Q$81+I82*$Q$82+I83*$Q$83+I84*$Q$84+I85*$Q$85+I86*$Q$86+I87*$Q$87+I88*$Q$88+I89*$Q$89+I90*$Q$90+I91*$Q$91+I92*$Q$92+I93*$Q$93+I94*$Q$94+I95*$Q$95+I96*$Q$96+I97*$Q$97+I98*$Q$98+I99*$Q$99+I100*$Q$100+I101*$Q$101+I102*$Q$102+I103*$Q$103+I104*$Q$104+I105*$Q$105+I106*$Q$106+I107*$Q$107+I108*$Q$108+I109*$Q$109+I110*$Q$110+I111*$Q$111+I112*$Q$112+I113*$Q$113+I114*$Q$114+I115*$Q$115+I116*$Q$116+I117*$Q$117+I118*$Q$118, 2)</f>
        <v>0.42</v>
      </c>
      <c r="J120" s="10" t="n">
        <f aca="false">ROUND(J3*$Q$3+J4*$Q$4+J5*$Q$5+J6*$Q$6+J7*$Q$7+J8*$Q$8+J9*$Q$9+J10*$Q$10+J11*$Q$11+J12*$Q$12+J13*$Q$13+J14*$Q$14+J15*$Q$15+J16*$Q$16+J17*$Q$17+J18*$Q$18+J19*$Q$19+J20*$Q$20+J21*$Q$21+J22*$Q$22+J23*$Q$23+J24*$Q$24+J25*$Q$25+J26*$Q$26+J27*$Q$27+J28*$Q$28+J29*$Q$29+J30*$Q$30+J31*$Q$31+J32*$Q$32+J33*$Q$33+J34*$Q$34+J35*$Q$35+J36*$Q$36+J37*$Q$37+J38*$Q$38+J39*$Q$39+J40*$Q$40+J41*$Q$41+J42*$Q$42+J43*$Q$43+J44*$Q$44+J45*$Q$45+J46*$Q$46+J47*$Q$47+J48*$Q$48+J49*$Q$49+J50*$Q$50+J51*$Q$51+J52*$Q$52+J53*$Q$53+J54*$Q$54+J55*$Q$55+J56*$Q$56+J57*$Q$57+J58*$Q$58+J59*$Q$59+J60*$Q$60+J61*$Q$61+J62*$Q$62+J63*$Q$63+J64*$Q$64+J65*$Q$65+J66*$Q$66+J67*$Q$67+J68*$Q$68+J69*$Q$69+J70*$Q$70+J71*$Q$71+J72*$Q$72+J73*$Q$73+J74*$Q$74+J75*$Q$75+J76*$Q$76+J77*$Q$77+J78*$Q$78+J79*$Q$79+J80*$Q$80+J81*$Q$81+J82*$Q$82+J83*$Q$83+J84*$Q$84+J85*$Q$85+J86*$Q$86+J87*$Q$87+J88*$Q$88+J89*$Q$89+J90*$Q$90+J91*$Q$91+J92*$Q$92+J93*$Q$93+J94*$Q$94+J95*$Q$95+J96*$Q$96+J97*$Q$97+J98*$Q$98+J99*$Q$99+J100*$Q$100+J101*$Q$101+J102*$Q$102+J103*$Q$103+J104*$Q$104+J105*$Q$105+J106*$Q$106+J107*$Q$107+J108*$Q$108+J109*$Q$109+J110*$Q$110+J111*$Q$111+J112*$Q$112+J113*$Q$113+J114*$Q$114+J115*$Q$115+J116*$Q$116+J117*$Q$117+J118*$Q$118, 2)</f>
        <v>6.66</v>
      </c>
      <c r="K120" s="10" t="n">
        <f aca="false">ROUND(K3*$Q$3+K4*$Q$4+K5*$Q$5+K6*$Q$6+K7*$Q$7+K8*$Q$8+K9*$Q$9+K10*$Q$10+K11*$Q$11+K12*$Q$12+K13*$Q$13+K14*$Q$14+K15*$Q$15+K16*$Q$16+K17*$Q$17+K18*$Q$18+K19*$Q$19+K20*$Q$20+K21*$Q$21+K22*$Q$22+K23*$Q$23+K24*$Q$24+K25*$Q$25+K26*$Q$26+K27*$Q$27+K28*$Q$28+K29*$Q$29+K30*$Q$30+K31*$Q$31+K32*$Q$32+K33*$Q$33+K34*$Q$34+K35*$Q$35+K36*$Q$36+K37*$Q$37+K38*$Q$38+K39*$Q$39+K40*$Q$40+K41*$Q$41+K42*$Q$42+K43*$Q$43+K44*$Q$44+K45*$Q$45+K46*$Q$46+K47*$Q$47+K48*$Q$48+K49*$Q$49+K50*$Q$50+K51*$Q$51+K52*$Q$52+K53*$Q$53+K54*$Q$54+K55*$Q$55+K56*$Q$56+K57*$Q$57+K58*$Q$58+K59*$Q$59+K60*$Q$60+K61*$Q$61+K62*$Q$62+K63*$Q$63+K64*$Q$64+K65*$Q$65+K66*$Q$66+K67*$Q$67+K68*$Q$68+K69*$Q$69+K70*$Q$70+K71*$Q$71+K72*$Q$72+K73*$Q$73+K74*$Q$74+K75*$Q$75+K76*$Q$76+K77*$Q$77+K78*$Q$78+K79*$Q$79+K80*$Q$80+K81*$Q$81+K82*$Q$82+K83*$Q$83+K84*$Q$84+K85*$Q$85+K86*$Q$86+K87*$Q$87+K88*$Q$88+K89*$Q$89+K90*$Q$90+K91*$Q$91+K92*$Q$92+K93*$Q$93+K94*$Q$94+K95*$Q$95+K96*$Q$96+K97*$Q$97+K98*$Q$98+K99*$Q$99+K100*$Q$100+K101*$Q$101+K102*$Q$102+K103*$Q$103+K104*$Q$104+K105*$Q$105+K106*$Q$106+K107*$Q$107+K108*$Q$108+K109*$Q$109+K110*$Q$110+K111*$Q$111+K112*$Q$112+K113*$Q$113+K114*$Q$114+K115*$Q$115+K116*$Q$116+K117*$Q$117+K118*$Q$118, 2)</f>
        <v>11.09</v>
      </c>
      <c r="L120" s="10" t="n">
        <f aca="false">ROUND(L3*$Q$3+L4*$Q$4+L5*$Q$5+L6*$Q$6+L7*$Q$7+L8*$Q$8+L9*$Q$9+L10*$Q$10+L11*$Q$11+L12*$Q$12+L13*$Q$13+L14*$Q$14+L15*$Q$15+L16*$Q$16+L17*$Q$17+L18*$Q$18+L19*$Q$19+L20*$Q$20+L21*$Q$21+L22*$Q$22+L23*$Q$23+L24*$Q$24+L25*$Q$25+L26*$Q$26+L27*$Q$27+L28*$Q$28+L29*$Q$29+L30*$Q$30+L31*$Q$31+L32*$Q$32+L33*$Q$33+L34*$Q$34+L35*$Q$35+L36*$Q$36+L37*$Q$37+L38*$Q$38+L39*$Q$39+L40*$Q$40+L41*$Q$41+L42*$Q$42+L43*$Q$43+L44*$Q$44+L45*$Q$45+L46*$Q$46+L47*$Q$47+L48*$Q$48+L49*$Q$49+L50*$Q$50+L51*$Q$51+L52*$Q$52+L53*$Q$53+L54*$Q$54+L55*$Q$55+L56*$Q$56+L57*$Q$57+L58*$Q$58+L59*$Q$59+L60*$Q$60+L61*$Q$61+L62*$Q$62+L63*$Q$63+L64*$Q$64+L65*$Q$65+L66*$Q$66+L67*$Q$67+L68*$Q$68+L69*$Q$69+L70*$Q$70+L71*$Q$71+L72*$Q$72+L73*$Q$73+L74*$Q$74+L75*$Q$75+L76*$Q$76+L77*$Q$77+L78*$Q$78+L79*$Q$79+L80*$Q$80+L81*$Q$81+L82*$Q$82+L83*$Q$83+L84*$Q$84+L85*$Q$85+L86*$Q$86+L87*$Q$87+L88*$Q$88+L89*$Q$89+L90*$Q$90+L91*$Q$91+L92*$Q$92+L93*$Q$93+L94*$Q$94+L95*$Q$95+L96*$Q$96+L97*$Q$97+L98*$Q$98+L99*$Q$99+L100*$Q$100+L101*$Q$101+L102*$Q$102+L103*$Q$103+L104*$Q$104+L105*$Q$105+L106*$Q$106+L107*$Q$107+L108*$Q$108+L109*$Q$109+L110*$Q$110+L111*$Q$111+L112*$Q$112+L113*$Q$113+L114*$Q$114+L115*$Q$115+L116*$Q$116+L117*$Q$117+L118*$Q$118, 2)</f>
        <v>315.01</v>
      </c>
      <c r="M120" s="10" t="n">
        <f aca="false">ROUND(M3*$Q$3+M4*$Q$4+M5*$Q$5+M6*$Q$6+M7*$Q$7+M8*$Q$8+M9*$Q$9+M10*$Q$10+M11*$Q$11+M12*$Q$12+M13*$Q$13+M14*$Q$14+M15*$Q$15+M16*$Q$16+M17*$Q$17+M18*$Q$18+M19*$Q$19+M20*$Q$20+M21*$Q$21+M22*$Q$22+M23*$Q$23+M24*$Q$24+M25*$Q$25+M26*$Q$26+M27*$Q$27+M28*$Q$28+M29*$Q$29+M30*$Q$30+M31*$Q$31+M32*$Q$32+M33*$Q$33+M34*$Q$34+M35*$Q$35+M36*$Q$36+M37*$Q$37+M38*$Q$38+M39*$Q$39+M40*$Q$40+M41*$Q$41+M42*$Q$42+M43*$Q$43+M44*$Q$44+M45*$Q$45+M46*$Q$46+M47*$Q$47+M48*$Q$48+M49*$Q$49+M50*$Q$50+M51*$Q$51+M52*$Q$52+M53*$Q$53+M54*$Q$54+M55*$Q$55+M56*$Q$56+M57*$Q$57+M58*$Q$58+M59*$Q$59+M60*$Q$60+M61*$Q$61+M62*$Q$62+M63*$Q$63+M64*$Q$64+M65*$Q$65+M66*$Q$66+M67*$Q$67+M68*$Q$68+M69*$Q$69+M70*$Q$70+M71*$Q$71+M72*$Q$72+M73*$Q$73+M74*$Q$74+M75*$Q$75+M76*$Q$76+M77*$Q$77+M78*$Q$78+M79*$Q$79+M80*$Q$80+M81*$Q$81+M82*$Q$82+M83*$Q$83+M84*$Q$84+M85*$Q$85+M86*$Q$86+M87*$Q$87+M88*$Q$88+M89*$Q$89+M90*$Q$90+M91*$Q$91+M92*$Q$92+M93*$Q$93+M94*$Q$94+M95*$Q$95+M96*$Q$96+M97*$Q$97+M98*$Q$98+M99*$Q$99+M100*$Q$100+M101*$Q$101+M102*$Q$102+M103*$Q$103+M104*$Q$104+M105*$Q$105+M106*$Q$106+M107*$Q$107+M108*$Q$108+M109*$Q$109+M110*$Q$110+M111*$Q$111+M112*$Q$112+M113*$Q$113+M114*$Q$114+M115*$Q$115+M116*$Q$116+M117*$Q$117+M118*$Q$118, 2)</f>
        <v>1818.24</v>
      </c>
      <c r="N120" s="10" t="n">
        <f aca="false">ROUND(N3*$Q$3+N4*$Q$4+N5*$Q$5+N6*$Q$6+N7*$Q$7+N8*$Q$8+N9*$Q$9+N10*$Q$10+N11*$Q$11+N12*$Q$12+N13*$Q$13+N14*$Q$14+N15*$Q$15+N16*$Q$16+N17*$Q$17+N18*$Q$18+N19*$Q$19+N20*$Q$20+N21*$Q$21+N22*$Q$22+N23*$Q$23+N24*$Q$24+N25*$Q$25+N26*$Q$26+N27*$Q$27+N28*$Q$28+N29*$Q$29+N30*$Q$30+N31*$Q$31+N32*$Q$32+N33*$Q$33+N34*$Q$34+N35*$Q$35+N36*$Q$36+N37*$Q$37+N38*$Q$38+N39*$Q$39+N40*$Q$40+N41*$Q$41+N42*$Q$42+N43*$Q$43+N44*$Q$44+N45*$Q$45+N46*$Q$46+N47*$Q$47+N48*$Q$48+N49*$Q$49+N50*$Q$50+N51*$Q$51+N52*$Q$52+N53*$Q$53+N54*$Q$54+N55*$Q$55+N56*$Q$56+N57*$Q$57+N58*$Q$58+N59*$Q$59+N60*$Q$60+N61*$Q$61+N62*$Q$62+N63*$Q$63+N64*$Q$64+N65*$Q$65+N66*$Q$66+N67*$Q$67+N68*$Q$68+N69*$Q$69+N70*$Q$70+N71*$Q$71+N72*$Q$72+N73*$Q$73+N74*$Q$74+N75*$Q$75+N76*$Q$76+N77*$Q$77+N78*$Q$78+N79*$Q$79+N80*$Q$80+N81*$Q$81+N82*$Q$82+N83*$Q$83+N84*$Q$84+N85*$Q$85+N86*$Q$86+N87*$Q$87+N88*$Q$88+N89*$Q$89+N90*$Q$90+N91*$Q$91+N92*$Q$92+N93*$Q$93+N94*$Q$94+N95*$Q$95+N96*$Q$96+N97*$Q$97+N98*$Q$98+N99*$Q$99+N100*$Q$100+N101*$Q$101+N102*$Q$102+N103*$Q$103+N104*$Q$104+N105*$Q$105+N106*$Q$106+N107*$Q$107+N108*$Q$108+N109*$Q$109+N110*$Q$110+N111*$Q$111+N112*$Q$112+N113*$Q$113+N114*$Q$114+N115*$Q$115+N116*$Q$116+N117*$Q$117+N118*$Q$118, 2)</f>
        <v>20.19</v>
      </c>
      <c r="O120" s="10"/>
      <c r="P120" s="10"/>
      <c r="Q120" s="10"/>
      <c r="R120" s="10" t="n">
        <f aca="false">ROUND(SUM(R3:R119), 2)</f>
        <v>7.43</v>
      </c>
    </row>
  </sheetData>
  <mergeCells count="9">
    <mergeCell ref="A1:A2"/>
    <mergeCell ref="B1:D1"/>
    <mergeCell ref="E1:F1"/>
    <mergeCell ref="G1:K1"/>
    <mergeCell ref="L1:N1"/>
    <mergeCell ref="O1:O2"/>
    <mergeCell ref="P1:P2"/>
    <mergeCell ref="Q1:Q2"/>
    <mergeCell ref="R1:R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20"/>
  <sheetViews>
    <sheetView showFormulas="false" showGridLines="true" showRowColHeaders="true" showZeros="true" rightToLeft="false" tabSelected="true" showOutlineSymbols="true" defaultGridColor="true" view="normal" topLeftCell="A109" colorId="64" zoomScale="100" zoomScaleNormal="100" zoomScalePageLayoutView="100" workbookViewId="0">
      <selection pane="topLeft" activeCell="Q126" activeCellId="0" sqref="Q126"/>
    </sheetView>
  </sheetViews>
  <sheetFormatPr defaultColWidth="8.6875" defaultRowHeight="13.8" zeroHeight="false" outlineLevelRow="0" outlineLevelCol="0"/>
  <cols>
    <col collapsed="false" customWidth="true" hidden="false" outlineLevel="0" max="1" min="1" style="1" width="20.18"/>
    <col collapsed="false" customWidth="true" hidden="false" outlineLevel="0" max="3" min="2" style="1" width="6.71"/>
    <col collapsed="false" customWidth="true" hidden="false" outlineLevel="0" max="4" min="4" style="1" width="6.85"/>
    <col collapsed="false" customWidth="true" hidden="true" outlineLevel="0" max="5" min="5" style="1" width="6.01"/>
    <col collapsed="false" customWidth="true" hidden="false" outlineLevel="0" max="6" min="6" style="1" width="20.29"/>
    <col collapsed="false" customWidth="true" hidden="false" outlineLevel="0" max="8" min="7" style="1" width="5.46"/>
    <col collapsed="false" customWidth="true" hidden="false" outlineLevel="0" max="9" min="9" style="1" width="6.57"/>
    <col collapsed="false" customWidth="true" hidden="false" outlineLevel="0" max="10" min="10" style="1" width="5.46"/>
    <col collapsed="false" customWidth="true" hidden="false" outlineLevel="0" max="11" min="11" style="1" width="6.01"/>
    <col collapsed="false" customWidth="false" hidden="false" outlineLevel="0" max="14" min="12" style="1" width="8.67"/>
    <col collapsed="false" customWidth="true" hidden="false" outlineLevel="0" max="15" min="15" style="1" width="11.66"/>
    <col collapsed="false" customWidth="true" hidden="false" outlineLevel="0" max="16" min="16" style="1" width="12.5"/>
    <col collapsed="false" customWidth="true" hidden="false" outlineLevel="0" max="17" min="17" style="1" width="15.28"/>
    <col collapsed="false" customWidth="true" hidden="false" outlineLevel="0" max="18" min="18" style="1" width="6.67"/>
    <col collapsed="false" customWidth="true" hidden="false" outlineLevel="0" max="20" min="19" style="1" width="14.31"/>
    <col collapsed="false" customWidth="true" hidden="false" outlineLevel="0" max="21" min="21" style="1" width="12.37"/>
    <col collapsed="false" customWidth="false" hidden="false" outlineLevel="0" max="1024" min="22" style="1" width="8.67"/>
  </cols>
  <sheetData>
    <row r="1" customFormat="false" ht="49.95" hidden="false" customHeight="true" outlineLevel="0" collapsed="false">
      <c r="A1" s="2" t="s">
        <v>0</v>
      </c>
      <c r="B1" s="3" t="s">
        <v>1</v>
      </c>
      <c r="C1" s="3"/>
      <c r="D1" s="3"/>
      <c r="E1" s="3" t="s">
        <v>2</v>
      </c>
      <c r="F1" s="3"/>
      <c r="G1" s="3" t="s">
        <v>3</v>
      </c>
      <c r="H1" s="3"/>
      <c r="I1" s="3"/>
      <c r="J1" s="3"/>
      <c r="K1" s="3"/>
      <c r="L1" s="3" t="s">
        <v>4</v>
      </c>
      <c r="M1" s="3"/>
      <c r="N1" s="3"/>
      <c r="O1" s="3" t="s">
        <v>5</v>
      </c>
      <c r="P1" s="3" t="s">
        <v>6</v>
      </c>
      <c r="Q1" s="4" t="s">
        <v>7</v>
      </c>
      <c r="R1" s="15" t="s">
        <v>145</v>
      </c>
      <c r="S1" s="5" t="s">
        <v>146</v>
      </c>
      <c r="T1" s="5" t="s">
        <v>147</v>
      </c>
      <c r="U1" s="5" t="s">
        <v>8</v>
      </c>
    </row>
    <row r="2" customFormat="false" ht="15" hidden="false" customHeight="false" outlineLevel="0" collapsed="false">
      <c r="A2" s="2"/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6" t="s">
        <v>20</v>
      </c>
      <c r="N2" s="6" t="s">
        <v>21</v>
      </c>
      <c r="O2" s="3"/>
      <c r="P2" s="3"/>
      <c r="Q2" s="4"/>
      <c r="R2" s="15"/>
      <c r="S2" s="15"/>
      <c r="T2" s="15"/>
      <c r="U2" s="5"/>
    </row>
    <row r="3" customFormat="false" ht="13.8" hidden="false" customHeight="true" outlineLevel="0" collapsed="false">
      <c r="A3" s="16" t="s">
        <v>22</v>
      </c>
      <c r="B3" s="17" t="n">
        <v>13</v>
      </c>
      <c r="C3" s="17" t="n">
        <v>6.5</v>
      </c>
      <c r="D3" s="17" t="n">
        <v>61.1</v>
      </c>
      <c r="E3" s="17" t="n">
        <v>1590</v>
      </c>
      <c r="F3" s="17" t="n">
        <v>380</v>
      </c>
      <c r="G3" s="17" t="n">
        <v>0</v>
      </c>
      <c r="H3" s="17" t="n">
        <v>0.6</v>
      </c>
      <c r="I3" s="17" t="n">
        <v>0.14</v>
      </c>
      <c r="J3" s="17" t="n">
        <v>0.98</v>
      </c>
      <c r="K3" s="17" t="n">
        <v>0</v>
      </c>
      <c r="L3" s="17" t="n">
        <v>75</v>
      </c>
      <c r="M3" s="17" t="n">
        <v>327</v>
      </c>
      <c r="N3" s="17" t="n">
        <v>4.3</v>
      </c>
      <c r="O3" s="18" t="n">
        <v>1.5</v>
      </c>
      <c r="P3" s="19" t="n">
        <f aca="false">ROUND(O3/10, 2)</f>
        <v>0.15</v>
      </c>
      <c r="Q3" s="10" t="n">
        <v>0</v>
      </c>
      <c r="R3" s="20" t="s">
        <v>148</v>
      </c>
      <c r="S3" s="21" t="n">
        <v>0.1</v>
      </c>
      <c r="T3" s="22" t="n">
        <f aca="false">SUM(Q3:Q8)</f>
        <v>3.3889707309</v>
      </c>
      <c r="U3" s="10" t="n">
        <f aca="false">O3*Q3</f>
        <v>0</v>
      </c>
    </row>
    <row r="4" customFormat="false" ht="13.8" hidden="false" customHeight="false" outlineLevel="0" collapsed="false">
      <c r="A4" s="16" t="s">
        <v>23</v>
      </c>
      <c r="B4" s="17" t="n">
        <v>12.5</v>
      </c>
      <c r="C4" s="17" t="n">
        <v>2.5</v>
      </c>
      <c r="D4" s="17" t="n">
        <v>67.4</v>
      </c>
      <c r="E4" s="17" t="n">
        <v>1480</v>
      </c>
      <c r="F4" s="17" t="n">
        <v>354</v>
      </c>
      <c r="G4" s="17" t="n">
        <v>0</v>
      </c>
      <c r="H4" s="17" t="n">
        <v>0.51</v>
      </c>
      <c r="I4" s="17" t="n">
        <v>0.24</v>
      </c>
      <c r="J4" s="17" t="n">
        <v>4.3</v>
      </c>
      <c r="K4" s="17" t="n">
        <v>0</v>
      </c>
      <c r="L4" s="17" t="n">
        <v>56</v>
      </c>
      <c r="M4" s="17" t="n">
        <v>294</v>
      </c>
      <c r="N4" s="17" t="n">
        <v>1.8</v>
      </c>
      <c r="O4" s="18" t="n">
        <v>2.4</v>
      </c>
      <c r="P4" s="23" t="n">
        <f aca="false">ROUND(O4/10, 2)</f>
        <v>0.24</v>
      </c>
      <c r="Q4" s="10" t="n">
        <v>0</v>
      </c>
      <c r="R4" s="20"/>
      <c r="S4" s="21"/>
      <c r="T4" s="22"/>
      <c r="U4" s="10" t="n">
        <f aca="false">O4*Q4</f>
        <v>0</v>
      </c>
    </row>
    <row r="5" customFormat="false" ht="13.8" hidden="false" customHeight="false" outlineLevel="0" collapsed="false">
      <c r="A5" s="16" t="s">
        <v>24</v>
      </c>
      <c r="B5" s="17" t="n">
        <v>8.9</v>
      </c>
      <c r="C5" s="17" t="n">
        <v>1.2</v>
      </c>
      <c r="D5" s="17" t="n">
        <v>72.4</v>
      </c>
      <c r="E5" s="17" t="n">
        <v>1440</v>
      </c>
      <c r="F5" s="17" t="n">
        <v>345</v>
      </c>
      <c r="G5" s="17" t="n">
        <v>0</v>
      </c>
      <c r="H5" s="17" t="n">
        <v>0.3</v>
      </c>
      <c r="I5" s="17" t="n">
        <v>0.1</v>
      </c>
      <c r="J5" s="17" t="n">
        <v>2.5</v>
      </c>
      <c r="K5" s="17" t="n">
        <v>0</v>
      </c>
      <c r="L5" s="17" t="n">
        <v>42</v>
      </c>
      <c r="M5" s="17" t="n">
        <v>236</v>
      </c>
      <c r="N5" s="17" t="n">
        <v>2.1</v>
      </c>
      <c r="O5" s="18" t="n">
        <v>0.95</v>
      </c>
      <c r="P5" s="23" t="n">
        <f aca="false">ROUND(O5/10, 2)</f>
        <v>0.1</v>
      </c>
      <c r="Q5" s="10" t="n">
        <v>2.990779313</v>
      </c>
      <c r="R5" s="20"/>
      <c r="S5" s="21"/>
      <c r="T5" s="22"/>
      <c r="U5" s="10" t="n">
        <f aca="false">O5*Q5</f>
        <v>2.84124034735</v>
      </c>
    </row>
    <row r="6" customFormat="false" ht="13.8" hidden="false" customHeight="false" outlineLevel="0" collapsed="false">
      <c r="A6" s="16" t="s">
        <v>30</v>
      </c>
      <c r="B6" s="17" t="n">
        <v>11.2</v>
      </c>
      <c r="C6" s="17" t="n">
        <v>0.8</v>
      </c>
      <c r="D6" s="17" t="n">
        <v>73.1</v>
      </c>
      <c r="E6" s="17" t="n">
        <v>1480</v>
      </c>
      <c r="F6" s="17" t="n">
        <v>354</v>
      </c>
      <c r="G6" s="17" t="n">
        <v>0</v>
      </c>
      <c r="H6" s="17" t="n">
        <v>0.1</v>
      </c>
      <c r="I6" s="17" t="n">
        <v>0.1</v>
      </c>
      <c r="J6" s="17" t="n">
        <v>0</v>
      </c>
      <c r="K6" s="17" t="n">
        <v>0</v>
      </c>
      <c r="L6" s="17" t="n">
        <v>41</v>
      </c>
      <c r="M6" s="17" t="n">
        <v>101</v>
      </c>
      <c r="N6" s="17" t="n">
        <v>1.6</v>
      </c>
      <c r="O6" s="18" t="n">
        <v>1.1</v>
      </c>
      <c r="P6" s="23" t="n">
        <f aca="false">ROUND(O6/10, 2)</f>
        <v>0.11</v>
      </c>
      <c r="Q6" s="10" t="n">
        <v>0</v>
      </c>
      <c r="R6" s="20"/>
      <c r="S6" s="21"/>
      <c r="T6" s="22"/>
      <c r="U6" s="10" t="n">
        <f aca="false">O6*Q6</f>
        <v>0</v>
      </c>
    </row>
    <row r="7" customFormat="false" ht="13.8" hidden="false" customHeight="false" outlineLevel="0" collapsed="false">
      <c r="A7" s="16" t="s">
        <v>31</v>
      </c>
      <c r="B7" s="17" t="n">
        <v>9.5</v>
      </c>
      <c r="C7" s="17" t="n">
        <v>1.5</v>
      </c>
      <c r="D7" s="17" t="n">
        <v>72</v>
      </c>
      <c r="E7" s="17" t="n">
        <v>1460</v>
      </c>
      <c r="F7" s="17" t="n">
        <v>348</v>
      </c>
      <c r="G7" s="17" t="n">
        <v>0</v>
      </c>
      <c r="H7" s="17" t="n">
        <v>0.2</v>
      </c>
      <c r="I7" s="17" t="n">
        <v>0</v>
      </c>
      <c r="J7" s="17" t="n">
        <v>0</v>
      </c>
      <c r="K7" s="17" t="n">
        <v>0</v>
      </c>
      <c r="L7" s="17" t="n">
        <v>42</v>
      </c>
      <c r="M7" s="17" t="n">
        <v>236</v>
      </c>
      <c r="N7" s="17" t="n">
        <v>2.1</v>
      </c>
      <c r="O7" s="18" t="n">
        <v>0.85</v>
      </c>
      <c r="P7" s="23" t="n">
        <f aca="false">ROUND(O7/10, 2)</f>
        <v>0.09</v>
      </c>
      <c r="Q7" s="10" t="n">
        <v>0.3981914179</v>
      </c>
      <c r="R7" s="20"/>
      <c r="S7" s="21"/>
      <c r="T7" s="22"/>
      <c r="U7" s="10" t="n">
        <f aca="false">O7*Q7</f>
        <v>0.338462705215</v>
      </c>
    </row>
    <row r="8" customFormat="false" ht="13.8" hidden="false" customHeight="false" outlineLevel="0" collapsed="false">
      <c r="A8" s="16" t="s">
        <v>32</v>
      </c>
      <c r="B8" s="17" t="n">
        <v>7.6</v>
      </c>
      <c r="C8" s="17" t="n">
        <v>1</v>
      </c>
      <c r="D8" s="17" t="n">
        <v>75.8</v>
      </c>
      <c r="E8" s="17" t="n">
        <v>1470</v>
      </c>
      <c r="F8" s="17" t="n">
        <v>351</v>
      </c>
      <c r="G8" s="17" t="n">
        <v>0</v>
      </c>
      <c r="H8" s="17" t="n">
        <v>0</v>
      </c>
      <c r="I8" s="17" t="n">
        <v>0.03</v>
      </c>
      <c r="J8" s="17" t="n">
        <v>1.6</v>
      </c>
      <c r="K8" s="17" t="n">
        <v>0</v>
      </c>
      <c r="L8" s="17" t="n">
        <v>30</v>
      </c>
      <c r="M8" s="17" t="n">
        <v>104</v>
      </c>
      <c r="N8" s="17" t="n">
        <v>1.3</v>
      </c>
      <c r="O8" s="18" t="n">
        <v>2.3</v>
      </c>
      <c r="P8" s="23" t="n">
        <f aca="false">ROUND(O8/10, 2)</f>
        <v>0.23</v>
      </c>
      <c r="Q8" s="10" t="n">
        <v>0</v>
      </c>
      <c r="R8" s="20"/>
      <c r="S8" s="21"/>
      <c r="T8" s="22"/>
      <c r="U8" s="10" t="n">
        <f aca="false">O8*Q8</f>
        <v>0</v>
      </c>
    </row>
    <row r="9" customFormat="false" ht="13.8" hidden="false" customHeight="true" outlineLevel="0" collapsed="false">
      <c r="A9" s="16" t="s">
        <v>25</v>
      </c>
      <c r="B9" s="17" t="n">
        <v>11.8</v>
      </c>
      <c r="C9" s="17" t="n">
        <v>1.5</v>
      </c>
      <c r="D9" s="17" t="n">
        <v>69.6</v>
      </c>
      <c r="E9" s="17" t="n">
        <v>1460</v>
      </c>
      <c r="F9" s="17" t="n">
        <v>348</v>
      </c>
      <c r="G9" s="17" t="n">
        <v>0</v>
      </c>
      <c r="H9" s="17" t="n">
        <v>0.45</v>
      </c>
      <c r="I9" s="17" t="n">
        <v>0.26</v>
      </c>
      <c r="J9" s="17" t="n">
        <v>5.3</v>
      </c>
      <c r="K9" s="17" t="n">
        <v>0</v>
      </c>
      <c r="L9" s="17" t="n">
        <v>40</v>
      </c>
      <c r="M9" s="17" t="n">
        <v>280</v>
      </c>
      <c r="N9" s="17" t="n">
        <v>3.3</v>
      </c>
      <c r="O9" s="18" t="n">
        <v>1.15</v>
      </c>
      <c r="P9" s="23" t="n">
        <f aca="false">ROUND(O9/10, 2)</f>
        <v>0.12</v>
      </c>
      <c r="Q9" s="10" t="n">
        <v>0.1</v>
      </c>
      <c r="R9" s="20" t="s">
        <v>149</v>
      </c>
      <c r="S9" s="21" t="n">
        <v>0.1</v>
      </c>
      <c r="T9" s="22" t="n">
        <f aca="false">SUM(Q9:Q14)</f>
        <v>0.1</v>
      </c>
      <c r="U9" s="10" t="n">
        <f aca="false">O9*Q9</f>
        <v>0.115</v>
      </c>
    </row>
    <row r="10" customFormat="false" ht="13.8" hidden="false" customHeight="false" outlineLevel="0" collapsed="false">
      <c r="A10" s="16" t="s">
        <v>26</v>
      </c>
      <c r="B10" s="17" t="n">
        <v>10.8</v>
      </c>
      <c r="C10" s="17" t="n">
        <v>0.9</v>
      </c>
      <c r="D10" s="17" t="n">
        <v>73.6</v>
      </c>
      <c r="E10" s="17" t="n">
        <v>1480</v>
      </c>
      <c r="F10" s="17" t="n">
        <v>354</v>
      </c>
      <c r="G10" s="17" t="n">
        <v>0</v>
      </c>
      <c r="H10" s="17" t="n">
        <v>0.18</v>
      </c>
      <c r="I10" s="17" t="n">
        <v>0.13</v>
      </c>
      <c r="J10" s="17" t="n">
        <v>1</v>
      </c>
      <c r="K10" s="17" t="n">
        <v>0</v>
      </c>
      <c r="L10" s="17" t="n">
        <v>22</v>
      </c>
      <c r="M10" s="17" t="n">
        <v>92</v>
      </c>
      <c r="N10" s="17" t="n">
        <v>1.1</v>
      </c>
      <c r="O10" s="18" t="n">
        <v>1.55</v>
      </c>
      <c r="P10" s="23" t="n">
        <f aca="false">ROUND(O10/10, 2)</f>
        <v>0.16</v>
      </c>
      <c r="Q10" s="10" t="n">
        <v>0</v>
      </c>
      <c r="R10" s="20"/>
      <c r="S10" s="21"/>
      <c r="T10" s="22"/>
      <c r="U10" s="10" t="n">
        <f aca="false">O10*Q10</f>
        <v>0</v>
      </c>
    </row>
    <row r="11" customFormat="false" ht="13.8" hidden="false" customHeight="false" outlineLevel="0" collapsed="false">
      <c r="A11" s="16" t="s">
        <v>33</v>
      </c>
      <c r="B11" s="17" t="n">
        <v>10.5</v>
      </c>
      <c r="C11" s="17" t="n">
        <v>1.6</v>
      </c>
      <c r="D11" s="17" t="n">
        <v>70.4</v>
      </c>
      <c r="E11" s="17" t="n">
        <v>1450</v>
      </c>
      <c r="F11" s="17" t="n">
        <v>347</v>
      </c>
      <c r="G11" s="17" t="n">
        <v>0</v>
      </c>
      <c r="H11" s="17" t="n">
        <v>0.33</v>
      </c>
      <c r="I11" s="17" t="n">
        <v>0.22</v>
      </c>
      <c r="J11" s="17" t="n">
        <v>1.1</v>
      </c>
      <c r="K11" s="17" t="n">
        <v>0</v>
      </c>
      <c r="L11" s="17" t="n">
        <v>49</v>
      </c>
      <c r="M11" s="17" t="n">
        <v>263</v>
      </c>
      <c r="N11" s="17" t="n">
        <v>3.4</v>
      </c>
      <c r="O11" s="18" t="n">
        <v>2</v>
      </c>
      <c r="P11" s="23" t="n">
        <f aca="false">ROUND(O11/10, 2)</f>
        <v>0.2</v>
      </c>
      <c r="Q11" s="10" t="n">
        <v>0</v>
      </c>
      <c r="R11" s="20"/>
      <c r="S11" s="21"/>
      <c r="T11" s="22"/>
      <c r="U11" s="10" t="n">
        <f aca="false">O11*Q11</f>
        <v>0</v>
      </c>
    </row>
    <row r="12" customFormat="false" ht="13.8" hidden="false" customHeight="false" outlineLevel="0" collapsed="false">
      <c r="A12" s="16" t="s">
        <v>27</v>
      </c>
      <c r="B12" s="17" t="n">
        <v>6.7</v>
      </c>
      <c r="C12" s="17" t="n">
        <v>0.7</v>
      </c>
      <c r="D12" s="17" t="n">
        <v>50.3</v>
      </c>
      <c r="E12" s="17" t="n">
        <v>1000</v>
      </c>
      <c r="F12" s="17" t="n">
        <v>240</v>
      </c>
      <c r="G12" s="17" t="n">
        <v>0</v>
      </c>
      <c r="H12" s="17" t="n">
        <v>0.1</v>
      </c>
      <c r="I12" s="17" t="n">
        <v>0.07</v>
      </c>
      <c r="J12" s="17" t="n">
        <v>0.67</v>
      </c>
      <c r="K12" s="17" t="n">
        <v>0</v>
      </c>
      <c r="L12" s="17" t="n">
        <v>20</v>
      </c>
      <c r="M12" s="17" t="n">
        <v>98</v>
      </c>
      <c r="N12" s="17" t="n">
        <v>1.8</v>
      </c>
      <c r="O12" s="18" t="n">
        <v>2.6</v>
      </c>
      <c r="P12" s="23" t="n">
        <f aca="false">ROUND(O12/10, 2)</f>
        <v>0.26</v>
      </c>
      <c r="Q12" s="10" t="n">
        <v>0</v>
      </c>
      <c r="R12" s="20"/>
      <c r="S12" s="21"/>
      <c r="T12" s="22"/>
      <c r="U12" s="10" t="n">
        <f aca="false">O12*Q12</f>
        <v>0</v>
      </c>
    </row>
    <row r="13" customFormat="false" ht="13.8" hidden="false" customHeight="false" outlineLevel="0" collapsed="false">
      <c r="A13" s="16" t="s">
        <v>28</v>
      </c>
      <c r="B13" s="17" t="n">
        <v>5</v>
      </c>
      <c r="C13" s="17" t="n">
        <v>1.1</v>
      </c>
      <c r="D13" s="17" t="n">
        <v>42.5</v>
      </c>
      <c r="E13" s="17" t="n">
        <v>850</v>
      </c>
      <c r="F13" s="17" t="n">
        <v>204</v>
      </c>
      <c r="G13" s="17" t="n">
        <v>0</v>
      </c>
      <c r="H13" s="17" t="n">
        <v>0.15</v>
      </c>
      <c r="I13" s="17" t="n">
        <v>0.13</v>
      </c>
      <c r="J13" s="17" t="n">
        <v>0.45</v>
      </c>
      <c r="K13" s="17" t="n">
        <v>0</v>
      </c>
      <c r="L13" s="17" t="n">
        <v>29</v>
      </c>
      <c r="M13" s="17" t="n">
        <v>200</v>
      </c>
      <c r="N13" s="17" t="n">
        <v>2</v>
      </c>
      <c r="O13" s="18" t="n">
        <v>2.2</v>
      </c>
      <c r="P13" s="23" t="n">
        <f aca="false">ROUND(O13/10, 2)</f>
        <v>0.22</v>
      </c>
      <c r="Q13" s="10" t="n">
        <v>0</v>
      </c>
      <c r="R13" s="20"/>
      <c r="S13" s="21"/>
      <c r="T13" s="22"/>
      <c r="U13" s="10" t="n">
        <f aca="false">O13*Q13</f>
        <v>0</v>
      </c>
    </row>
    <row r="14" customFormat="false" ht="13.8" hidden="false" customHeight="false" outlineLevel="0" collapsed="false">
      <c r="A14" s="16" t="s">
        <v>29</v>
      </c>
      <c r="B14" s="17" t="n">
        <v>11</v>
      </c>
      <c r="C14" s="17" t="n">
        <v>0.9</v>
      </c>
      <c r="D14" s="17" t="n">
        <v>74.2</v>
      </c>
      <c r="E14" s="17" t="n">
        <v>1500</v>
      </c>
      <c r="F14" s="17" t="n">
        <v>358</v>
      </c>
      <c r="G14" s="17" t="n">
        <v>0</v>
      </c>
      <c r="H14" s="17" t="n">
        <v>0</v>
      </c>
      <c r="I14" s="17" t="n">
        <v>0.04</v>
      </c>
      <c r="J14" s="17" t="n">
        <v>1.1</v>
      </c>
      <c r="K14" s="17" t="n">
        <v>0</v>
      </c>
      <c r="L14" s="17" t="n">
        <v>34</v>
      </c>
      <c r="M14" s="17" t="n">
        <v>97</v>
      </c>
      <c r="N14" s="17" t="n">
        <v>1.5</v>
      </c>
      <c r="O14" s="18" t="n">
        <v>1.8</v>
      </c>
      <c r="P14" s="23" t="n">
        <f aca="false">ROUND(O14/10, 2)</f>
        <v>0.18</v>
      </c>
      <c r="Q14" s="10" t="n">
        <v>0</v>
      </c>
      <c r="R14" s="20"/>
      <c r="S14" s="21"/>
      <c r="T14" s="22"/>
      <c r="U14" s="10" t="n">
        <f aca="false">O14*Q14</f>
        <v>0</v>
      </c>
    </row>
    <row r="15" customFormat="false" ht="13.8" hidden="false" customHeight="true" outlineLevel="0" collapsed="false">
      <c r="A15" s="16" t="s">
        <v>34</v>
      </c>
      <c r="B15" s="17" t="n">
        <v>23.4</v>
      </c>
      <c r="C15" s="17" t="n">
        <v>2.4</v>
      </c>
      <c r="D15" s="17" t="n">
        <v>53.1</v>
      </c>
      <c r="E15" s="17" t="n">
        <v>1410</v>
      </c>
      <c r="F15" s="17" t="n">
        <v>336</v>
      </c>
      <c r="G15" s="17" t="n">
        <v>0</v>
      </c>
      <c r="H15" s="17" t="n">
        <v>0.72</v>
      </c>
      <c r="I15" s="17" t="n">
        <v>0.15</v>
      </c>
      <c r="J15" s="17" t="n">
        <v>2.4</v>
      </c>
      <c r="K15" s="17" t="n">
        <v>4</v>
      </c>
      <c r="L15" s="17" t="n">
        <v>64</v>
      </c>
      <c r="M15" s="17" t="n">
        <v>377</v>
      </c>
      <c r="N15" s="17" t="n">
        <v>4.8</v>
      </c>
      <c r="O15" s="18" t="n">
        <v>1.25</v>
      </c>
      <c r="P15" s="23" t="n">
        <f aca="false">ROUND(O15/10, 2)</f>
        <v>0.13</v>
      </c>
      <c r="Q15" s="10" t="n">
        <v>1.893498156</v>
      </c>
      <c r="R15" s="20" t="s">
        <v>150</v>
      </c>
      <c r="S15" s="21" t="n">
        <v>0.5</v>
      </c>
      <c r="T15" s="22" t="n">
        <f aca="false">SUM(Q15:Q36)</f>
        <v>2.82633122498</v>
      </c>
      <c r="U15" s="10" t="n">
        <f aca="false">O15*Q15</f>
        <v>2.366872695</v>
      </c>
    </row>
    <row r="16" customFormat="false" ht="13.8" hidden="false" customHeight="false" outlineLevel="0" collapsed="false">
      <c r="A16" s="16" t="s">
        <v>35</v>
      </c>
      <c r="B16" s="17" t="n">
        <v>1.3</v>
      </c>
      <c r="C16" s="17" t="n">
        <v>0</v>
      </c>
      <c r="D16" s="17" t="n">
        <v>10.8</v>
      </c>
      <c r="E16" s="17" t="n">
        <v>63</v>
      </c>
      <c r="F16" s="17" t="n">
        <v>15</v>
      </c>
      <c r="G16" s="17" t="n">
        <v>0</v>
      </c>
      <c r="H16" s="17" t="n">
        <v>0.02</v>
      </c>
      <c r="I16" s="17" t="n">
        <v>0.05</v>
      </c>
      <c r="J16" s="17" t="n">
        <v>0.4</v>
      </c>
      <c r="K16" s="17" t="n">
        <v>10</v>
      </c>
      <c r="L16" s="17" t="n">
        <v>28</v>
      </c>
      <c r="M16" s="17" t="n">
        <v>43</v>
      </c>
      <c r="N16" s="17" t="n">
        <v>1.4</v>
      </c>
      <c r="O16" s="18" t="n">
        <v>2</v>
      </c>
      <c r="P16" s="23" t="n">
        <f aca="false">ROUND(O16/10, 2)</f>
        <v>0.2</v>
      </c>
      <c r="Q16" s="10" t="n">
        <v>0</v>
      </c>
      <c r="R16" s="20"/>
      <c r="S16" s="21"/>
      <c r="T16" s="22"/>
      <c r="U16" s="10" t="n">
        <f aca="false">O16*Q16</f>
        <v>0</v>
      </c>
    </row>
    <row r="17" customFormat="false" ht="13.8" hidden="false" customHeight="false" outlineLevel="0" collapsed="false">
      <c r="A17" s="16" t="s">
        <v>36</v>
      </c>
      <c r="B17" s="17" t="n">
        <v>1.5</v>
      </c>
      <c r="C17" s="17" t="n">
        <v>0</v>
      </c>
      <c r="D17" s="17" t="n">
        <v>8</v>
      </c>
      <c r="E17" s="17" t="n">
        <v>163</v>
      </c>
      <c r="F17" s="17" t="n">
        <v>39</v>
      </c>
      <c r="G17" s="17" t="n">
        <v>0</v>
      </c>
      <c r="H17" s="17" t="n">
        <v>0.6</v>
      </c>
      <c r="I17" s="17" t="n">
        <v>0.6</v>
      </c>
      <c r="J17" s="17" t="n">
        <v>0.4</v>
      </c>
      <c r="K17" s="17" t="n">
        <v>5</v>
      </c>
      <c r="L17" s="17" t="n">
        <v>43</v>
      </c>
      <c r="M17" s="17" t="n">
        <v>39</v>
      </c>
      <c r="N17" s="17" t="n">
        <v>0.8</v>
      </c>
      <c r="O17" s="18" t="n">
        <v>0.75</v>
      </c>
      <c r="P17" s="23" t="n">
        <f aca="false">ROUND(O17/10, 2)</f>
        <v>0.08</v>
      </c>
      <c r="Q17" s="10" t="n">
        <v>0.9151059381</v>
      </c>
      <c r="R17" s="20"/>
      <c r="S17" s="21"/>
      <c r="T17" s="22"/>
      <c r="U17" s="10" t="n">
        <f aca="false">O17*Q17</f>
        <v>0.686329453575</v>
      </c>
    </row>
    <row r="18" customFormat="false" ht="13.8" hidden="false" customHeight="false" outlineLevel="0" collapsed="false">
      <c r="A18" s="16" t="s">
        <v>37</v>
      </c>
      <c r="B18" s="17" t="n">
        <v>0.8</v>
      </c>
      <c r="C18" s="17" t="n">
        <v>0</v>
      </c>
      <c r="D18" s="17" t="n">
        <v>3</v>
      </c>
      <c r="E18" s="17" t="n">
        <v>67</v>
      </c>
      <c r="F18" s="17" t="n">
        <v>16</v>
      </c>
      <c r="G18" s="17" t="n">
        <v>0</v>
      </c>
      <c r="H18" s="17" t="n">
        <v>0.03</v>
      </c>
      <c r="I18" s="17" t="n">
        <v>0.04</v>
      </c>
      <c r="J18" s="17" t="n">
        <v>0.2</v>
      </c>
      <c r="K18" s="17" t="n">
        <v>5</v>
      </c>
      <c r="L18" s="17" t="n">
        <v>23</v>
      </c>
      <c r="M18" s="17" t="n">
        <v>27</v>
      </c>
      <c r="N18" s="17" t="n">
        <v>1</v>
      </c>
      <c r="O18" s="18" t="n">
        <v>1</v>
      </c>
      <c r="P18" s="23" t="n">
        <f aca="false">ROUND(O18/10, 2)</f>
        <v>0.1</v>
      </c>
      <c r="Q18" s="10" t="n">
        <v>0</v>
      </c>
      <c r="R18" s="20"/>
      <c r="S18" s="21"/>
      <c r="T18" s="22"/>
      <c r="U18" s="10" t="n">
        <f aca="false">O18*Q18</f>
        <v>0</v>
      </c>
    </row>
    <row r="19" customFormat="false" ht="13.8" hidden="false" customHeight="false" outlineLevel="0" collapsed="false">
      <c r="A19" s="16" t="s">
        <v>38</v>
      </c>
      <c r="B19" s="17" t="n">
        <v>0.8</v>
      </c>
      <c r="C19" s="17" t="n">
        <v>0</v>
      </c>
      <c r="D19" s="17" t="n">
        <v>0.5</v>
      </c>
      <c r="E19" s="17" t="n">
        <v>38</v>
      </c>
      <c r="F19" s="17" t="n">
        <v>9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25</v>
      </c>
      <c r="M19" s="17" t="n">
        <v>20</v>
      </c>
      <c r="N19" s="17" t="n">
        <v>1.2</v>
      </c>
      <c r="O19" s="18" t="n">
        <v>5.5</v>
      </c>
      <c r="P19" s="23" t="n">
        <f aca="false">ROUND(O19/10, 2)</f>
        <v>0.55</v>
      </c>
      <c r="Q19" s="10" t="n">
        <v>0</v>
      </c>
      <c r="R19" s="20"/>
      <c r="S19" s="21"/>
      <c r="T19" s="22"/>
      <c r="U19" s="10" t="n">
        <f aca="false">O19*Q19</f>
        <v>0</v>
      </c>
    </row>
    <row r="20" customFormat="false" ht="13.8" hidden="false" customHeight="false" outlineLevel="0" collapsed="false">
      <c r="A20" s="16" t="s">
        <v>39</v>
      </c>
      <c r="B20" s="17" t="n">
        <v>1.8</v>
      </c>
      <c r="C20" s="17" t="n">
        <v>0</v>
      </c>
      <c r="D20" s="17" t="n">
        <v>5.4</v>
      </c>
      <c r="E20" s="17" t="n">
        <v>126</v>
      </c>
      <c r="F20" s="17" t="n">
        <v>30</v>
      </c>
      <c r="G20" s="17" t="n">
        <v>0</v>
      </c>
      <c r="H20" s="17" t="n">
        <v>0.06</v>
      </c>
      <c r="I20" s="17" t="n">
        <v>0.05</v>
      </c>
      <c r="J20" s="17" t="n">
        <v>0.4</v>
      </c>
      <c r="K20" s="17" t="n">
        <v>30</v>
      </c>
      <c r="L20" s="17" t="n">
        <v>48</v>
      </c>
      <c r="M20" s="17" t="n">
        <v>31</v>
      </c>
      <c r="N20" s="17" t="n">
        <v>1.1</v>
      </c>
      <c r="O20" s="18" t="n">
        <v>0.8</v>
      </c>
      <c r="P20" s="23" t="n">
        <f aca="false">ROUND(O20/10, 2)</f>
        <v>0.08</v>
      </c>
      <c r="Q20" s="10" t="n">
        <v>0</v>
      </c>
      <c r="R20" s="20"/>
      <c r="S20" s="21"/>
      <c r="T20" s="22"/>
      <c r="U20" s="10" t="n">
        <f aca="false">O20*Q20</f>
        <v>0</v>
      </c>
    </row>
    <row r="21" customFormat="false" ht="13.8" hidden="false" customHeight="false" outlineLevel="0" collapsed="false">
      <c r="A21" s="16" t="s">
        <v>40</v>
      </c>
      <c r="B21" s="17" t="n">
        <v>1.2</v>
      </c>
      <c r="C21" s="17" t="n">
        <v>0</v>
      </c>
      <c r="D21" s="17" t="n">
        <v>3.3</v>
      </c>
      <c r="E21" s="17" t="n">
        <v>105</v>
      </c>
      <c r="F21" s="17" t="n">
        <v>25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20</v>
      </c>
      <c r="L21" s="17" t="n">
        <v>51</v>
      </c>
      <c r="M21" s="17" t="n">
        <v>34</v>
      </c>
      <c r="N21" s="17" t="n">
        <v>0.3</v>
      </c>
      <c r="O21" s="18" t="n">
        <v>1.8</v>
      </c>
      <c r="P21" s="23" t="n">
        <f aca="false">ROUND(O21/10, 2)</f>
        <v>0.18</v>
      </c>
      <c r="Q21" s="10" t="n">
        <v>0</v>
      </c>
      <c r="R21" s="20"/>
      <c r="S21" s="21"/>
      <c r="T21" s="22"/>
      <c r="U21" s="10" t="n">
        <f aca="false">O21*Q21</f>
        <v>0</v>
      </c>
    </row>
    <row r="22" customFormat="false" ht="13.8" hidden="false" customHeight="false" outlineLevel="0" collapsed="false">
      <c r="A22" s="16" t="s">
        <v>41</v>
      </c>
      <c r="B22" s="17" t="n">
        <v>2.5</v>
      </c>
      <c r="C22" s="17" t="n">
        <v>0</v>
      </c>
      <c r="D22" s="17" t="n">
        <v>4.9</v>
      </c>
      <c r="E22" s="17" t="n">
        <v>126</v>
      </c>
      <c r="F22" s="17" t="n">
        <v>30</v>
      </c>
      <c r="G22" s="17" t="n">
        <v>0</v>
      </c>
      <c r="H22" s="17" t="n">
        <v>0.11</v>
      </c>
      <c r="I22" s="17" t="n">
        <v>0.1</v>
      </c>
      <c r="J22" s="17" t="n">
        <v>0.6</v>
      </c>
      <c r="K22" s="17" t="n">
        <v>70</v>
      </c>
      <c r="L22" s="17" t="n">
        <v>26</v>
      </c>
      <c r="M22" s="17" t="n">
        <v>51</v>
      </c>
      <c r="N22" s="17" t="n">
        <v>1.4</v>
      </c>
      <c r="O22" s="18" t="n">
        <v>3.18</v>
      </c>
      <c r="P22" s="23" t="n">
        <f aca="false">ROUND(O22/10, 2)</f>
        <v>0.32</v>
      </c>
      <c r="Q22" s="10" t="n">
        <v>0</v>
      </c>
      <c r="R22" s="20"/>
      <c r="S22" s="21"/>
      <c r="T22" s="22"/>
      <c r="U22" s="10" t="n">
        <f aca="false">O22*Q22</f>
        <v>0</v>
      </c>
    </row>
    <row r="23" customFormat="false" ht="13.8" hidden="false" customHeight="false" outlineLevel="0" collapsed="false">
      <c r="A23" s="16" t="s">
        <v>42</v>
      </c>
      <c r="B23" s="17" t="n">
        <v>2</v>
      </c>
      <c r="C23" s="17" t="n">
        <v>0</v>
      </c>
      <c r="D23" s="17" t="n">
        <v>21</v>
      </c>
      <c r="E23" s="17" t="n">
        <v>394</v>
      </c>
      <c r="F23" s="17" t="n">
        <v>94</v>
      </c>
      <c r="G23" s="17" t="n">
        <v>0</v>
      </c>
      <c r="H23" s="17" t="n">
        <v>0.1</v>
      </c>
      <c r="I23" s="17" t="n">
        <v>0.05</v>
      </c>
      <c r="J23" s="17" t="n">
        <v>0.9</v>
      </c>
      <c r="K23" s="17" t="n">
        <v>10</v>
      </c>
      <c r="L23" s="17" t="n">
        <v>10</v>
      </c>
      <c r="M23" s="17" t="n">
        <v>50</v>
      </c>
      <c r="N23" s="17" t="n">
        <v>1.2</v>
      </c>
      <c r="O23" s="18" t="n">
        <v>0.7</v>
      </c>
      <c r="P23" s="23" t="n">
        <f aca="false">ROUND(O23/10, 2)</f>
        <v>0.07</v>
      </c>
      <c r="Q23" s="10" t="n">
        <v>0</v>
      </c>
      <c r="R23" s="20"/>
      <c r="S23" s="21"/>
      <c r="T23" s="22"/>
      <c r="U23" s="10" t="n">
        <f aca="false">O23*Q23</f>
        <v>0</v>
      </c>
    </row>
    <row r="24" customFormat="false" ht="13.8" hidden="false" customHeight="false" outlineLevel="0" collapsed="false">
      <c r="A24" s="16" t="s">
        <v>43</v>
      </c>
      <c r="B24" s="17" t="n">
        <v>0.5</v>
      </c>
      <c r="C24" s="17" t="n">
        <v>0</v>
      </c>
      <c r="D24" s="17" t="n">
        <v>6.2</v>
      </c>
      <c r="E24" s="17" t="n">
        <v>113</v>
      </c>
      <c r="F24" s="17" t="n">
        <v>27</v>
      </c>
      <c r="G24" s="17" t="n">
        <v>0</v>
      </c>
      <c r="H24" s="17" t="n">
        <v>0.06</v>
      </c>
      <c r="I24" s="17" t="n">
        <v>0.03</v>
      </c>
      <c r="J24" s="17" t="n">
        <v>0.4</v>
      </c>
      <c r="K24" s="17" t="n">
        <v>8</v>
      </c>
      <c r="L24" s="17" t="n">
        <v>24</v>
      </c>
      <c r="M24" s="17" t="n">
        <v>16</v>
      </c>
      <c r="N24" s="17" t="n">
        <v>2.5</v>
      </c>
      <c r="O24" s="18" t="n">
        <v>1.2</v>
      </c>
      <c r="P24" s="23" t="n">
        <f aca="false">ROUND(O24/10, 2)</f>
        <v>0.12</v>
      </c>
      <c r="Q24" s="10" t="n">
        <v>0</v>
      </c>
      <c r="R24" s="20"/>
      <c r="S24" s="21"/>
      <c r="T24" s="22"/>
      <c r="U24" s="10" t="n">
        <f aca="false">O24*Q24</f>
        <v>0</v>
      </c>
    </row>
    <row r="25" customFormat="false" ht="13.8" hidden="false" customHeight="false" outlineLevel="0" collapsed="false">
      <c r="A25" s="16" t="s">
        <v>44</v>
      </c>
      <c r="B25" s="17" t="n">
        <v>1.3</v>
      </c>
      <c r="C25" s="17" t="n">
        <v>0</v>
      </c>
      <c r="D25" s="17" t="n">
        <v>4.3</v>
      </c>
      <c r="E25" s="17" t="n">
        <v>96</v>
      </c>
      <c r="F25" s="17" t="n">
        <v>23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48</v>
      </c>
      <c r="L25" s="17" t="n">
        <v>80</v>
      </c>
      <c r="M25" s="17" t="n">
        <v>0</v>
      </c>
      <c r="N25" s="17" t="n">
        <v>1</v>
      </c>
      <c r="O25" s="18" t="n">
        <v>10</v>
      </c>
      <c r="P25" s="23" t="n">
        <f aca="false">ROUND(O25/10, 2)</f>
        <v>1</v>
      </c>
      <c r="Q25" s="10" t="n">
        <v>0</v>
      </c>
      <c r="R25" s="20"/>
      <c r="S25" s="21"/>
      <c r="T25" s="22"/>
      <c r="U25" s="10" t="n">
        <f aca="false">O25*Q25</f>
        <v>0</v>
      </c>
    </row>
    <row r="26" customFormat="false" ht="13.8" hidden="false" customHeight="false" outlineLevel="0" collapsed="false">
      <c r="A26" s="16" t="s">
        <v>45</v>
      </c>
      <c r="B26" s="17" t="n">
        <v>2.5</v>
      </c>
      <c r="C26" s="17" t="n">
        <v>0</v>
      </c>
      <c r="D26" s="17" t="n">
        <v>16.3</v>
      </c>
      <c r="E26" s="17" t="n">
        <v>322</v>
      </c>
      <c r="F26" s="17" t="n">
        <v>77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200</v>
      </c>
      <c r="L26" s="17" t="n">
        <v>119</v>
      </c>
      <c r="M26" s="17" t="n">
        <v>70</v>
      </c>
      <c r="N26" s="17" t="n">
        <v>2</v>
      </c>
      <c r="O26" s="18" t="n">
        <v>6</v>
      </c>
      <c r="P26" s="23" t="n">
        <f aca="false">ROUND(O26/10, 2)</f>
        <v>0.6</v>
      </c>
      <c r="Q26" s="10" t="n">
        <v>0</v>
      </c>
      <c r="R26" s="20"/>
      <c r="S26" s="21"/>
      <c r="T26" s="22"/>
      <c r="U26" s="10" t="n">
        <f aca="false">O26*Q26</f>
        <v>0</v>
      </c>
    </row>
    <row r="27" customFormat="false" ht="13.8" hidden="false" customHeight="false" outlineLevel="0" collapsed="false">
      <c r="A27" s="16" t="s">
        <v>46</v>
      </c>
      <c r="B27" s="17" t="n">
        <v>3.7</v>
      </c>
      <c r="C27" s="17" t="n">
        <v>0</v>
      </c>
      <c r="D27" s="17" t="n">
        <v>8.1</v>
      </c>
      <c r="E27" s="17" t="n">
        <v>201</v>
      </c>
      <c r="F27" s="17" t="n">
        <v>48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1500</v>
      </c>
      <c r="L27" s="17" t="n">
        <v>325</v>
      </c>
      <c r="M27" s="17" t="n">
        <v>128</v>
      </c>
      <c r="N27" s="17" t="n">
        <v>8</v>
      </c>
      <c r="O27" s="18" t="n">
        <v>15</v>
      </c>
      <c r="P27" s="23" t="n">
        <f aca="false">ROUND(O27/10, 2)</f>
        <v>1.5</v>
      </c>
      <c r="Q27" s="10" t="n">
        <v>0.01772713088</v>
      </c>
      <c r="R27" s="20"/>
      <c r="S27" s="21"/>
      <c r="T27" s="22"/>
      <c r="U27" s="10" t="n">
        <f aca="false">O27*Q27</f>
        <v>0.2659069632</v>
      </c>
    </row>
    <row r="28" customFormat="false" ht="13.8" hidden="false" customHeight="false" outlineLevel="0" collapsed="false">
      <c r="A28" s="16" t="s">
        <v>47</v>
      </c>
      <c r="B28" s="17" t="n">
        <v>3</v>
      </c>
      <c r="C28" s="17" t="n">
        <v>0</v>
      </c>
      <c r="D28" s="17" t="n">
        <v>7.3</v>
      </c>
      <c r="E28" s="17" t="n">
        <v>176</v>
      </c>
      <c r="F28" s="17" t="n">
        <v>42</v>
      </c>
      <c r="G28" s="17" t="n">
        <v>0</v>
      </c>
      <c r="H28" s="17" t="n">
        <v>0.06</v>
      </c>
      <c r="I28" s="17" t="n">
        <v>0.04</v>
      </c>
      <c r="J28" s="17" t="n">
        <v>0.5</v>
      </c>
      <c r="K28" s="17" t="n">
        <v>20</v>
      </c>
      <c r="L28" s="17" t="n">
        <v>80</v>
      </c>
      <c r="M28" s="17" t="n">
        <v>58</v>
      </c>
      <c r="N28" s="17" t="n">
        <v>1</v>
      </c>
      <c r="O28" s="18" t="n">
        <v>2</v>
      </c>
      <c r="P28" s="23" t="n">
        <f aca="false">ROUND(O28/10, 2)</f>
        <v>0.2</v>
      </c>
      <c r="Q28" s="10" t="n">
        <v>0</v>
      </c>
      <c r="R28" s="20"/>
      <c r="S28" s="21"/>
      <c r="T28" s="22"/>
      <c r="U28" s="10" t="n">
        <f aca="false">O28*Q28</f>
        <v>0</v>
      </c>
    </row>
    <row r="29" customFormat="false" ht="13.8" hidden="false" customHeight="false" outlineLevel="0" collapsed="false">
      <c r="A29" s="16" t="s">
        <v>48</v>
      </c>
      <c r="B29" s="17" t="n">
        <v>0.7</v>
      </c>
      <c r="C29" s="17" t="n">
        <v>0</v>
      </c>
      <c r="D29" s="17" t="n">
        <v>2.9</v>
      </c>
      <c r="E29" s="17" t="n">
        <v>88</v>
      </c>
      <c r="F29" s="17" t="n">
        <v>21</v>
      </c>
      <c r="G29" s="17" t="n">
        <v>0</v>
      </c>
      <c r="H29" s="17" t="n">
        <v>0.01</v>
      </c>
      <c r="I29" s="17" t="n">
        <v>0</v>
      </c>
      <c r="J29" s="17" t="n">
        <v>0.1</v>
      </c>
      <c r="K29" s="17" t="n">
        <v>9</v>
      </c>
      <c r="L29" s="17" t="n">
        <v>51</v>
      </c>
      <c r="M29" s="17" t="n">
        <v>25</v>
      </c>
      <c r="N29" s="17" t="n">
        <v>0.5</v>
      </c>
      <c r="O29" s="18" t="n">
        <v>5</v>
      </c>
      <c r="P29" s="23" t="n">
        <f aca="false">ROUND(O29/10, 2)</f>
        <v>0.5</v>
      </c>
      <c r="Q29" s="10" t="n">
        <v>0</v>
      </c>
      <c r="R29" s="20"/>
      <c r="S29" s="21"/>
      <c r="T29" s="22"/>
      <c r="U29" s="10" t="n">
        <f aca="false">O29*Q29</f>
        <v>0</v>
      </c>
    </row>
    <row r="30" customFormat="false" ht="13.8" hidden="false" customHeight="false" outlineLevel="0" collapsed="false">
      <c r="A30" s="16" t="s">
        <v>49</v>
      </c>
      <c r="B30" s="17" t="n">
        <v>1.2</v>
      </c>
      <c r="C30" s="17" t="n">
        <v>0</v>
      </c>
      <c r="D30" s="17" t="n">
        <v>4.1</v>
      </c>
      <c r="E30" s="17" t="n">
        <v>92</v>
      </c>
      <c r="F30" s="17" t="n">
        <v>22</v>
      </c>
      <c r="G30" s="17" t="n">
        <v>0</v>
      </c>
      <c r="H30" s="17" t="n">
        <v>0.03</v>
      </c>
      <c r="I30" s="17" t="n">
        <v>0.02</v>
      </c>
      <c r="J30" s="17" t="n">
        <v>0.3</v>
      </c>
      <c r="K30" s="17" t="n">
        <v>20</v>
      </c>
      <c r="L30" s="17" t="n">
        <v>37</v>
      </c>
      <c r="M30" s="17" t="n">
        <v>27</v>
      </c>
      <c r="N30" s="17" t="n">
        <v>1</v>
      </c>
      <c r="O30" s="18" t="n">
        <v>0.5</v>
      </c>
      <c r="P30" s="23" t="n">
        <f aca="false">ROUND(O30/10, 2)</f>
        <v>0.05</v>
      </c>
      <c r="Q30" s="10" t="n">
        <v>0</v>
      </c>
      <c r="R30" s="20"/>
      <c r="S30" s="21"/>
      <c r="T30" s="22"/>
      <c r="U30" s="10" t="n">
        <f aca="false">O30*Q30</f>
        <v>0</v>
      </c>
    </row>
    <row r="31" customFormat="false" ht="13.8" hidden="false" customHeight="false" outlineLevel="0" collapsed="false">
      <c r="A31" s="16" t="s">
        <v>50</v>
      </c>
      <c r="B31" s="17" t="n">
        <v>1.5</v>
      </c>
      <c r="C31" s="17" t="n">
        <v>0</v>
      </c>
      <c r="D31" s="17" t="n">
        <v>2.2</v>
      </c>
      <c r="E31" s="17" t="n">
        <v>63</v>
      </c>
      <c r="F31" s="17" t="n">
        <v>15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7</v>
      </c>
      <c r="L31" s="17" t="n">
        <v>77</v>
      </c>
      <c r="M31" s="17" t="n">
        <v>34</v>
      </c>
      <c r="N31" s="17" t="n">
        <v>0.9</v>
      </c>
      <c r="O31" s="18" t="n">
        <v>7</v>
      </c>
      <c r="P31" s="23" t="n">
        <f aca="false">ROUND(O31/10, 2)</f>
        <v>0.7</v>
      </c>
      <c r="Q31" s="10" t="n">
        <v>0</v>
      </c>
      <c r="R31" s="20"/>
      <c r="S31" s="21"/>
      <c r="T31" s="22"/>
      <c r="U31" s="10" t="n">
        <f aca="false">O31*Q31</f>
        <v>0</v>
      </c>
    </row>
    <row r="32" customFormat="false" ht="13.8" hidden="false" customHeight="false" outlineLevel="0" collapsed="false">
      <c r="A32" s="16" t="s">
        <v>51</v>
      </c>
      <c r="B32" s="17" t="n">
        <v>3</v>
      </c>
      <c r="C32" s="17" t="n">
        <v>0</v>
      </c>
      <c r="D32" s="17" t="n">
        <v>9.6</v>
      </c>
      <c r="E32" s="17" t="n">
        <v>218</v>
      </c>
      <c r="F32" s="17" t="n">
        <v>52</v>
      </c>
      <c r="G32" s="17" t="n">
        <v>0</v>
      </c>
      <c r="H32" s="17" t="n">
        <v>0.02</v>
      </c>
      <c r="I32" s="17" t="n">
        <v>0.03</v>
      </c>
      <c r="J32" s="17" t="n">
        <v>0.2</v>
      </c>
      <c r="K32" s="17" t="n">
        <v>8</v>
      </c>
      <c r="L32" s="17" t="n">
        <v>38</v>
      </c>
      <c r="M32" s="17" t="n">
        <v>58</v>
      </c>
      <c r="N32" s="17" t="n">
        <v>0.8</v>
      </c>
      <c r="O32" s="18" t="n">
        <v>0.8</v>
      </c>
      <c r="P32" s="23" t="n">
        <f aca="false">ROUND(O32/10, 2)</f>
        <v>0.08</v>
      </c>
      <c r="Q32" s="10" t="n">
        <v>0</v>
      </c>
      <c r="R32" s="20"/>
      <c r="S32" s="21"/>
      <c r="T32" s="22"/>
      <c r="U32" s="10" t="n">
        <f aca="false">O32*Q32</f>
        <v>0</v>
      </c>
    </row>
    <row r="33" customFormat="false" ht="13.8" hidden="false" customHeight="false" outlineLevel="0" collapsed="false">
      <c r="A33" s="16" t="s">
        <v>52</v>
      </c>
      <c r="B33" s="17" t="n">
        <v>2.6</v>
      </c>
      <c r="C33" s="17" t="n">
        <v>0</v>
      </c>
      <c r="D33" s="17" t="n">
        <v>5.3</v>
      </c>
      <c r="E33" s="17" t="n">
        <v>142</v>
      </c>
      <c r="F33" s="17" t="n">
        <v>34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60</v>
      </c>
      <c r="L33" s="17" t="n">
        <v>55</v>
      </c>
      <c r="M33" s="17" t="n">
        <v>37</v>
      </c>
      <c r="N33" s="17" t="n">
        <v>0</v>
      </c>
      <c r="O33" s="18" t="n">
        <v>5</v>
      </c>
      <c r="P33" s="23" t="n">
        <f aca="false">ROUND(O33/10, 2)</f>
        <v>0.5</v>
      </c>
      <c r="Q33" s="10" t="n">
        <v>0</v>
      </c>
      <c r="R33" s="20"/>
      <c r="S33" s="21"/>
      <c r="T33" s="22"/>
      <c r="U33" s="10" t="n">
        <f aca="false">O33*Q33</f>
        <v>0</v>
      </c>
    </row>
    <row r="34" customFormat="false" ht="13.8" hidden="false" customHeight="false" outlineLevel="0" collapsed="false">
      <c r="A34" s="16" t="s">
        <v>53</v>
      </c>
      <c r="B34" s="17" t="n">
        <v>2.9</v>
      </c>
      <c r="C34" s="17" t="n">
        <v>0</v>
      </c>
      <c r="D34" s="17" t="n">
        <v>2.3</v>
      </c>
      <c r="E34" s="17" t="n">
        <v>88</v>
      </c>
      <c r="F34" s="17" t="n">
        <v>21</v>
      </c>
      <c r="G34" s="17" t="n">
        <v>0</v>
      </c>
      <c r="H34" s="17" t="n">
        <v>0.11</v>
      </c>
      <c r="I34" s="17" t="n">
        <v>0.2</v>
      </c>
      <c r="J34" s="17" t="n">
        <v>0.6</v>
      </c>
      <c r="K34" s="17" t="n">
        <v>50</v>
      </c>
      <c r="L34" s="17" t="n">
        <v>81</v>
      </c>
      <c r="M34" s="17" t="n">
        <v>83</v>
      </c>
      <c r="N34" s="17" t="n">
        <v>3</v>
      </c>
      <c r="O34" s="18" t="n">
        <v>10</v>
      </c>
      <c r="P34" s="23" t="n">
        <f aca="false">ROUND(O34/10, 2)</f>
        <v>1</v>
      </c>
      <c r="Q34" s="10" t="n">
        <v>0</v>
      </c>
      <c r="R34" s="20"/>
      <c r="S34" s="21"/>
      <c r="T34" s="22"/>
      <c r="U34" s="10" t="n">
        <f aca="false">O34*Q34</f>
        <v>0</v>
      </c>
    </row>
    <row r="35" customFormat="false" ht="13.8" hidden="false" customHeight="false" outlineLevel="0" collapsed="false">
      <c r="A35" s="16" t="s">
        <v>54</v>
      </c>
      <c r="B35" s="17" t="n">
        <v>0.6</v>
      </c>
      <c r="C35" s="17" t="n">
        <v>0</v>
      </c>
      <c r="D35" s="17" t="n">
        <v>4.2</v>
      </c>
      <c r="E35" s="17" t="n">
        <v>92</v>
      </c>
      <c r="F35" s="17" t="n">
        <v>22</v>
      </c>
      <c r="G35" s="17" t="n">
        <v>0</v>
      </c>
      <c r="H35" s="17" t="n">
        <v>0.06</v>
      </c>
      <c r="I35" s="17" t="n">
        <v>0.04</v>
      </c>
      <c r="J35" s="17" t="n">
        <v>0.5</v>
      </c>
      <c r="K35" s="17" t="n">
        <v>40</v>
      </c>
      <c r="L35" s="17" t="n">
        <v>12</v>
      </c>
      <c r="M35" s="17" t="n">
        <v>26</v>
      </c>
      <c r="N35" s="17" t="n">
        <v>1.4</v>
      </c>
      <c r="O35" s="18" t="n">
        <v>3.2</v>
      </c>
      <c r="P35" s="23" t="n">
        <f aca="false">ROUND(O35/10, 2)</f>
        <v>0.32</v>
      </c>
      <c r="Q35" s="10" t="n">
        <v>0</v>
      </c>
      <c r="R35" s="20"/>
      <c r="S35" s="21"/>
      <c r="T35" s="22"/>
      <c r="U35" s="10" t="n">
        <f aca="false">O35*Q35</f>
        <v>0</v>
      </c>
    </row>
    <row r="36" customFormat="false" ht="13.8" hidden="false" customHeight="false" outlineLevel="0" collapsed="false">
      <c r="A36" s="16" t="s">
        <v>55</v>
      </c>
      <c r="B36" s="17" t="n">
        <v>5</v>
      </c>
      <c r="C36" s="17" t="n">
        <v>0</v>
      </c>
      <c r="D36" s="17" t="n">
        <v>13.3</v>
      </c>
      <c r="E36" s="17" t="n">
        <v>314</v>
      </c>
      <c r="F36" s="17" t="n">
        <v>75</v>
      </c>
      <c r="G36" s="17" t="n">
        <v>0</v>
      </c>
      <c r="H36" s="17" t="n">
        <v>0.34</v>
      </c>
      <c r="I36" s="17" t="n">
        <v>0.19</v>
      </c>
      <c r="J36" s="17" t="n">
        <v>2.6</v>
      </c>
      <c r="K36" s="17" t="n">
        <v>25</v>
      </c>
      <c r="L36" s="17" t="n">
        <v>26</v>
      </c>
      <c r="M36" s="17" t="n">
        <v>122</v>
      </c>
      <c r="N36" s="17" t="n">
        <v>0.7</v>
      </c>
      <c r="O36" s="18" t="n">
        <v>2.5</v>
      </c>
      <c r="P36" s="23" t="n">
        <f aca="false">ROUND(O36/10, 2)</f>
        <v>0.25</v>
      </c>
      <c r="Q36" s="10" t="n">
        <v>0</v>
      </c>
      <c r="R36" s="20"/>
      <c r="S36" s="21"/>
      <c r="T36" s="22"/>
      <c r="U36" s="10" t="n">
        <f aca="false">O36*Q36</f>
        <v>0</v>
      </c>
    </row>
    <row r="37" customFormat="false" ht="13.8" hidden="false" customHeight="true" outlineLevel="0" collapsed="false">
      <c r="A37" s="16" t="s">
        <v>58</v>
      </c>
      <c r="B37" s="17" t="n">
        <v>0.9</v>
      </c>
      <c r="C37" s="17" t="n">
        <v>0</v>
      </c>
      <c r="D37" s="17" t="n">
        <v>8.4</v>
      </c>
      <c r="E37" s="17" t="n">
        <v>180</v>
      </c>
      <c r="F37" s="17" t="n">
        <v>43</v>
      </c>
      <c r="G37" s="17" t="n">
        <v>0</v>
      </c>
      <c r="H37" s="17" t="n">
        <v>0.08</v>
      </c>
      <c r="I37" s="17" t="n">
        <v>0.03</v>
      </c>
      <c r="J37" s="17" t="n">
        <v>0.2</v>
      </c>
      <c r="K37" s="17" t="n">
        <v>40</v>
      </c>
      <c r="L37" s="17" t="n">
        <v>34</v>
      </c>
      <c r="M37" s="17" t="n">
        <v>23</v>
      </c>
      <c r="N37" s="17" t="n">
        <v>0.4</v>
      </c>
      <c r="O37" s="18" t="n">
        <v>1.95</v>
      </c>
      <c r="P37" s="23" t="n">
        <f aca="false">ROUND(O37/10, 2)</f>
        <v>0.2</v>
      </c>
      <c r="Q37" s="10" t="n">
        <v>0.1</v>
      </c>
      <c r="R37" s="20" t="s">
        <v>151</v>
      </c>
      <c r="S37" s="21" t="n">
        <v>0.1</v>
      </c>
      <c r="T37" s="22" t="n">
        <f aca="false">SUM(Q37:Q39)</f>
        <v>0.1</v>
      </c>
      <c r="U37" s="10" t="n">
        <f aca="false">O37*Q37</f>
        <v>0.195</v>
      </c>
    </row>
    <row r="38" customFormat="false" ht="13.8" hidden="false" customHeight="false" outlineLevel="0" collapsed="false">
      <c r="A38" s="16" t="s">
        <v>64</v>
      </c>
      <c r="B38" s="17" t="n">
        <v>0.9</v>
      </c>
      <c r="C38" s="17" t="n">
        <v>0</v>
      </c>
      <c r="D38" s="17" t="n">
        <v>3.6</v>
      </c>
      <c r="E38" s="17" t="n">
        <v>180</v>
      </c>
      <c r="F38" s="17" t="n">
        <v>43</v>
      </c>
      <c r="G38" s="17" t="n">
        <v>0</v>
      </c>
      <c r="H38" s="17" t="n">
        <v>0.04</v>
      </c>
      <c r="I38" s="17" t="n">
        <v>0</v>
      </c>
      <c r="J38" s="17" t="n">
        <v>0.1</v>
      </c>
      <c r="K38" s="17" t="n">
        <v>40</v>
      </c>
      <c r="L38" s="17" t="n">
        <v>40</v>
      </c>
      <c r="M38" s="17" t="n">
        <v>22</v>
      </c>
      <c r="N38" s="17" t="n">
        <v>0.6</v>
      </c>
      <c r="O38" s="18" t="n">
        <v>2.1</v>
      </c>
      <c r="P38" s="23" t="n">
        <f aca="false">ROUND(O38/10, 2)</f>
        <v>0.21</v>
      </c>
      <c r="Q38" s="10" t="n">
        <v>0</v>
      </c>
      <c r="R38" s="20"/>
      <c r="S38" s="21"/>
      <c r="T38" s="22"/>
      <c r="U38" s="10" t="n">
        <f aca="false">O38*Q38</f>
        <v>0</v>
      </c>
    </row>
    <row r="39" customFormat="false" ht="13.8" hidden="false" customHeight="false" outlineLevel="0" collapsed="false">
      <c r="A39" s="16" t="s">
        <v>70</v>
      </c>
      <c r="B39" s="17" t="n">
        <v>0.8</v>
      </c>
      <c r="C39" s="17" t="n">
        <v>0</v>
      </c>
      <c r="D39" s="17" t="n">
        <v>8.6</v>
      </c>
      <c r="E39" s="17" t="n">
        <v>180</v>
      </c>
      <c r="F39" s="17" t="n">
        <v>43</v>
      </c>
      <c r="G39" s="17" t="n">
        <v>0</v>
      </c>
      <c r="H39" s="17" t="n">
        <v>0.08</v>
      </c>
      <c r="I39" s="17" t="n">
        <v>0.03</v>
      </c>
      <c r="J39" s="17" t="n">
        <v>0.2</v>
      </c>
      <c r="K39" s="17" t="n">
        <v>30</v>
      </c>
      <c r="L39" s="17" t="n">
        <v>35</v>
      </c>
      <c r="M39" s="17" t="n">
        <v>17</v>
      </c>
      <c r="N39" s="17" t="n">
        <v>0.4</v>
      </c>
      <c r="O39" s="18" t="n">
        <v>2</v>
      </c>
      <c r="P39" s="23" t="n">
        <f aca="false">ROUND(O39/10, 2)</f>
        <v>0.2</v>
      </c>
      <c r="Q39" s="10" t="n">
        <v>0</v>
      </c>
      <c r="R39" s="20"/>
      <c r="S39" s="21"/>
      <c r="T39" s="22"/>
      <c r="U39" s="10" t="n">
        <f aca="false">O39*Q39</f>
        <v>0</v>
      </c>
    </row>
    <row r="40" customFormat="false" ht="13.8" hidden="false" customHeight="true" outlineLevel="0" collapsed="false">
      <c r="A40" s="16" t="s">
        <v>56</v>
      </c>
      <c r="B40" s="17" t="n">
        <v>0.4</v>
      </c>
      <c r="C40" s="17" t="n">
        <v>0</v>
      </c>
      <c r="D40" s="17" t="n">
        <v>11.3</v>
      </c>
      <c r="E40" s="17" t="n">
        <v>214</v>
      </c>
      <c r="F40" s="17" t="n">
        <v>51</v>
      </c>
      <c r="G40" s="17" t="n">
        <v>0</v>
      </c>
      <c r="H40" s="17" t="n">
        <v>0.04</v>
      </c>
      <c r="I40" s="17" t="n">
        <v>0.03</v>
      </c>
      <c r="J40" s="17" t="n">
        <v>0.2</v>
      </c>
      <c r="K40" s="17" t="n">
        <v>7</v>
      </c>
      <c r="L40" s="17" t="n">
        <v>19</v>
      </c>
      <c r="M40" s="17" t="n">
        <v>13</v>
      </c>
      <c r="N40" s="17" t="n">
        <v>2.5</v>
      </c>
      <c r="O40" s="18" t="n">
        <v>1</v>
      </c>
      <c r="P40" s="23" t="n">
        <f aca="false">ROUND(O40/10, 2)</f>
        <v>0.1</v>
      </c>
      <c r="Q40" s="10" t="n">
        <v>0.2</v>
      </c>
      <c r="R40" s="20" t="s">
        <v>152</v>
      </c>
      <c r="S40" s="21" t="n">
        <v>0.2</v>
      </c>
      <c r="T40" s="22" t="n">
        <f aca="false">SUM(Q40:Q44)</f>
        <v>0.2</v>
      </c>
      <c r="U40" s="10" t="n">
        <f aca="false">O40*Q40</f>
        <v>0.2</v>
      </c>
    </row>
    <row r="41" customFormat="false" ht="13.8" hidden="false" customHeight="false" outlineLevel="0" collapsed="false">
      <c r="A41" s="16" t="s">
        <v>57</v>
      </c>
      <c r="B41" s="17" t="n">
        <v>2</v>
      </c>
      <c r="C41" s="17" t="n">
        <v>0</v>
      </c>
      <c r="D41" s="17" t="n">
        <v>67.2</v>
      </c>
      <c r="E41" s="17" t="n">
        <v>1230</v>
      </c>
      <c r="F41" s="17" t="n">
        <v>293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111</v>
      </c>
      <c r="M41" s="17" t="n">
        <v>77</v>
      </c>
      <c r="N41" s="17" t="n">
        <v>14.8</v>
      </c>
      <c r="O41" s="18" t="n">
        <v>15</v>
      </c>
      <c r="P41" s="23" t="n">
        <f aca="false">ROUND(O41/10, 2)</f>
        <v>1.5</v>
      </c>
      <c r="Q41" s="10" t="n">
        <v>0</v>
      </c>
      <c r="R41" s="20"/>
      <c r="S41" s="21"/>
      <c r="T41" s="22"/>
      <c r="U41" s="10" t="n">
        <f aca="false">O41*Q41</f>
        <v>0</v>
      </c>
    </row>
    <row r="42" customFormat="false" ht="13.8" hidden="false" customHeight="false" outlineLevel="0" collapsed="false">
      <c r="A42" s="16" t="s">
        <v>59</v>
      </c>
      <c r="B42" s="17" t="n">
        <v>0.9</v>
      </c>
      <c r="C42" s="17" t="n">
        <v>0</v>
      </c>
      <c r="D42" s="17" t="n">
        <v>10.5</v>
      </c>
      <c r="E42" s="17" t="n">
        <v>218</v>
      </c>
      <c r="F42" s="17" t="n">
        <v>52</v>
      </c>
      <c r="G42" s="17" t="n">
        <v>0</v>
      </c>
      <c r="H42" s="17" t="n">
        <v>0.04</v>
      </c>
      <c r="I42" s="17" t="n">
        <v>0.06</v>
      </c>
      <c r="J42" s="17" t="n">
        <v>0.7</v>
      </c>
      <c r="K42" s="17" t="n">
        <v>7</v>
      </c>
      <c r="L42" s="17" t="n">
        <v>28</v>
      </c>
      <c r="M42" s="17" t="n">
        <v>26</v>
      </c>
      <c r="N42" s="17" t="n">
        <v>2.1</v>
      </c>
      <c r="O42" s="18" t="n">
        <v>4.5</v>
      </c>
      <c r="P42" s="23" t="n">
        <f aca="false">ROUND(O42/10, 2)</f>
        <v>0.45</v>
      </c>
      <c r="Q42" s="10" t="n">
        <v>0</v>
      </c>
      <c r="R42" s="20"/>
      <c r="S42" s="21"/>
      <c r="T42" s="22"/>
      <c r="U42" s="10" t="n">
        <f aca="false">O42*Q42</f>
        <v>0</v>
      </c>
    </row>
    <row r="43" customFormat="false" ht="13.8" hidden="false" customHeight="false" outlineLevel="0" collapsed="false">
      <c r="A43" s="16" t="s">
        <v>63</v>
      </c>
      <c r="B43" s="17" t="n">
        <v>0.4</v>
      </c>
      <c r="C43" s="17" t="n">
        <v>0</v>
      </c>
      <c r="D43" s="17" t="n">
        <v>10.7</v>
      </c>
      <c r="E43" s="17" t="n">
        <v>197</v>
      </c>
      <c r="F43" s="17" t="n">
        <v>47</v>
      </c>
      <c r="G43" s="17" t="n">
        <v>0</v>
      </c>
      <c r="H43" s="17" t="n">
        <v>0.02</v>
      </c>
      <c r="I43" s="17" t="n">
        <v>0.04</v>
      </c>
      <c r="J43" s="17" t="n">
        <v>0.1</v>
      </c>
      <c r="K43" s="17" t="n">
        <v>4</v>
      </c>
      <c r="L43" s="17" t="n">
        <v>19</v>
      </c>
      <c r="M43" s="17" t="n">
        <v>16</v>
      </c>
      <c r="N43" s="17" t="n">
        <v>2.3</v>
      </c>
      <c r="O43" s="18" t="n">
        <v>2.2</v>
      </c>
      <c r="P43" s="23" t="n">
        <f aca="false">ROUND(O43/10, 2)</f>
        <v>0.22</v>
      </c>
      <c r="Q43" s="10" t="n">
        <v>0</v>
      </c>
      <c r="R43" s="20"/>
      <c r="S43" s="21"/>
      <c r="T43" s="22"/>
      <c r="U43" s="10" t="n">
        <f aca="false">O43*Q43</f>
        <v>0</v>
      </c>
    </row>
    <row r="44" customFormat="false" ht="13.8" hidden="false" customHeight="false" outlineLevel="0" collapsed="false">
      <c r="A44" s="16" t="s">
        <v>60</v>
      </c>
      <c r="B44" s="17" t="n">
        <v>5</v>
      </c>
      <c r="C44" s="17" t="n">
        <v>0</v>
      </c>
      <c r="D44" s="17" t="n">
        <v>69.5</v>
      </c>
      <c r="E44" s="17" t="n">
        <v>1310</v>
      </c>
      <c r="F44" s="17" t="n">
        <v>314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166</v>
      </c>
      <c r="M44" s="17" t="n">
        <v>152</v>
      </c>
      <c r="N44" s="17" t="n">
        <v>12.3</v>
      </c>
      <c r="O44" s="18" t="n">
        <v>12</v>
      </c>
      <c r="P44" s="23" t="n">
        <f aca="false">ROUND(O44/10, 2)</f>
        <v>1.2</v>
      </c>
      <c r="Q44" s="10" t="n">
        <v>0</v>
      </c>
      <c r="R44" s="20"/>
      <c r="S44" s="21"/>
      <c r="T44" s="22"/>
      <c r="U44" s="10" t="n">
        <f aca="false">O44*Q44</f>
        <v>0</v>
      </c>
    </row>
    <row r="45" customFormat="false" ht="13.8" hidden="false" customHeight="true" outlineLevel="0" collapsed="false">
      <c r="A45" s="16" t="s">
        <v>61</v>
      </c>
      <c r="B45" s="17" t="n">
        <v>0.8</v>
      </c>
      <c r="C45" s="17" t="n">
        <v>0</v>
      </c>
      <c r="D45" s="17" t="n">
        <v>6.5</v>
      </c>
      <c r="E45" s="17" t="n">
        <v>155</v>
      </c>
      <c r="F45" s="17" t="n">
        <v>37</v>
      </c>
      <c r="G45" s="17" t="n">
        <v>0</v>
      </c>
      <c r="H45" s="17" t="n">
        <v>0.02</v>
      </c>
      <c r="I45" s="17" t="n">
        <v>0.07</v>
      </c>
      <c r="J45" s="17" t="n">
        <v>0</v>
      </c>
      <c r="K45" s="17" t="n">
        <v>30</v>
      </c>
      <c r="L45" s="17" t="n">
        <v>40</v>
      </c>
      <c r="M45" s="17" t="n">
        <v>37</v>
      </c>
      <c r="N45" s="17" t="n">
        <v>0.9</v>
      </c>
      <c r="O45" s="18" t="n">
        <v>13</v>
      </c>
      <c r="P45" s="23" t="n">
        <f aca="false">ROUND(O45/10, 2)</f>
        <v>1.3</v>
      </c>
      <c r="Q45" s="10" t="n">
        <v>0</v>
      </c>
      <c r="R45" s="20" t="s">
        <v>153</v>
      </c>
      <c r="S45" s="21" t="n">
        <v>0.05</v>
      </c>
      <c r="T45" s="22" t="n">
        <f aca="false">SUM(Q45:Q57)</f>
        <v>0.05</v>
      </c>
      <c r="U45" s="10" t="n">
        <f aca="false">O45*Q45</f>
        <v>0</v>
      </c>
    </row>
    <row r="46" customFormat="false" ht="13.8" hidden="false" customHeight="false" outlineLevel="0" collapsed="false">
      <c r="A46" s="16" t="s">
        <v>62</v>
      </c>
      <c r="B46" s="17" t="n">
        <v>0.7</v>
      </c>
      <c r="C46" s="17" t="n">
        <v>0</v>
      </c>
      <c r="D46" s="17" t="n">
        <v>8.6</v>
      </c>
      <c r="E46" s="17" t="n">
        <v>193</v>
      </c>
      <c r="F46" s="17" t="n">
        <v>46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15</v>
      </c>
      <c r="L46" s="17" t="n">
        <v>40</v>
      </c>
      <c r="M46" s="17" t="n">
        <v>16</v>
      </c>
      <c r="N46" s="17" t="n">
        <v>0.4</v>
      </c>
      <c r="O46" s="18" t="n">
        <v>7</v>
      </c>
      <c r="P46" s="23" t="n">
        <f aca="false">ROUND(O46/10, 2)</f>
        <v>0.7</v>
      </c>
      <c r="Q46" s="10" t="n">
        <v>0</v>
      </c>
      <c r="R46" s="20"/>
      <c r="S46" s="21"/>
      <c r="T46" s="22"/>
      <c r="U46" s="10" t="n">
        <f aca="false">O46*Q46</f>
        <v>0</v>
      </c>
    </row>
    <row r="47" customFormat="false" ht="13.8" hidden="false" customHeight="false" outlineLevel="0" collapsed="false">
      <c r="A47" s="16" t="s">
        <v>65</v>
      </c>
      <c r="B47" s="17" t="n">
        <v>0.5</v>
      </c>
      <c r="C47" s="17" t="n">
        <v>0</v>
      </c>
      <c r="D47" s="17" t="n">
        <v>4.8</v>
      </c>
      <c r="E47" s="17" t="n">
        <v>142</v>
      </c>
      <c r="F47" s="17" t="n">
        <v>34</v>
      </c>
      <c r="G47" s="17" t="n">
        <v>0</v>
      </c>
      <c r="H47" s="17" t="n">
        <v>0.03</v>
      </c>
      <c r="I47" s="17" t="n">
        <v>0.02</v>
      </c>
      <c r="J47" s="17" t="n">
        <v>0.1</v>
      </c>
      <c r="K47" s="17" t="n">
        <v>10</v>
      </c>
      <c r="L47" s="17" t="n">
        <v>14</v>
      </c>
      <c r="M47" s="17" t="n">
        <v>11</v>
      </c>
      <c r="N47" s="17" t="n">
        <v>0.6</v>
      </c>
      <c r="O47" s="18" t="n">
        <v>8.5</v>
      </c>
      <c r="P47" s="23" t="n">
        <f aca="false">ROUND(O47/10, 2)</f>
        <v>0.85</v>
      </c>
      <c r="Q47" s="10" t="n">
        <v>0</v>
      </c>
      <c r="R47" s="20"/>
      <c r="S47" s="21"/>
      <c r="T47" s="22"/>
      <c r="U47" s="10" t="n">
        <f aca="false">O47*Q47</f>
        <v>0</v>
      </c>
    </row>
    <row r="48" customFormat="false" ht="13.8" hidden="false" customHeight="false" outlineLevel="0" collapsed="false">
      <c r="A48" s="16" t="s">
        <v>66</v>
      </c>
      <c r="B48" s="17" t="n">
        <v>0.7</v>
      </c>
      <c r="C48" s="17" t="n">
        <v>0</v>
      </c>
      <c r="D48" s="17" t="n">
        <v>9.9</v>
      </c>
      <c r="E48" s="17" t="n">
        <v>214</v>
      </c>
      <c r="F48" s="17" t="n">
        <v>51</v>
      </c>
      <c r="G48" s="17" t="n">
        <v>0</v>
      </c>
      <c r="H48" s="17" t="n">
        <v>0.04</v>
      </c>
      <c r="I48" s="17" t="n">
        <v>0.02</v>
      </c>
      <c r="J48" s="17" t="n">
        <v>0.1</v>
      </c>
      <c r="K48" s="17" t="n">
        <v>50</v>
      </c>
      <c r="L48" s="17" t="n">
        <v>22</v>
      </c>
      <c r="M48" s="17" t="n">
        <v>28</v>
      </c>
      <c r="N48" s="17" t="n">
        <v>0.5</v>
      </c>
      <c r="O48" s="18" t="n">
        <v>6</v>
      </c>
      <c r="P48" s="23" t="n">
        <f aca="false">ROUND(O48/10, 2)</f>
        <v>0.6</v>
      </c>
      <c r="Q48" s="10" t="n">
        <v>0</v>
      </c>
      <c r="R48" s="20"/>
      <c r="S48" s="21"/>
      <c r="T48" s="22"/>
      <c r="U48" s="10" t="n">
        <f aca="false">O48*Q48</f>
        <v>0</v>
      </c>
    </row>
    <row r="49" customFormat="false" ht="13.8" hidden="false" customHeight="false" outlineLevel="0" collapsed="false">
      <c r="A49" s="16" t="s">
        <v>67</v>
      </c>
      <c r="B49" s="17" t="n">
        <v>0.3</v>
      </c>
      <c r="C49" s="17" t="n">
        <v>0</v>
      </c>
      <c r="D49" s="17" t="n">
        <v>8.7</v>
      </c>
      <c r="E49" s="17" t="n">
        <v>188</v>
      </c>
      <c r="F49" s="17" t="n">
        <v>45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5</v>
      </c>
      <c r="L49" s="17" t="n">
        <v>36</v>
      </c>
      <c r="M49" s="17" t="n">
        <v>0</v>
      </c>
      <c r="N49" s="17" t="n">
        <v>0</v>
      </c>
      <c r="O49" s="18" t="n">
        <v>6</v>
      </c>
      <c r="P49" s="23" t="n">
        <f aca="false">ROUND(O49/10, 2)</f>
        <v>0.6</v>
      </c>
      <c r="Q49" s="10" t="n">
        <v>0</v>
      </c>
      <c r="R49" s="20"/>
      <c r="S49" s="21"/>
      <c r="T49" s="22"/>
      <c r="U49" s="10" t="n">
        <f aca="false">O49*Q49</f>
        <v>0</v>
      </c>
    </row>
    <row r="50" customFormat="false" ht="13.8" hidden="false" customHeight="false" outlineLevel="0" collapsed="false">
      <c r="A50" s="16" t="s">
        <v>68</v>
      </c>
      <c r="B50" s="17" t="n">
        <v>0.6</v>
      </c>
      <c r="C50" s="17" t="n">
        <v>0</v>
      </c>
      <c r="D50" s="17" t="n">
        <v>8</v>
      </c>
      <c r="E50" s="17" t="n">
        <v>197</v>
      </c>
      <c r="F50" s="17" t="n">
        <v>47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30</v>
      </c>
      <c r="L50" s="17" t="n">
        <v>36</v>
      </c>
      <c r="M50" s="17" t="n">
        <v>33</v>
      </c>
      <c r="N50" s="17" t="n">
        <v>0.9</v>
      </c>
      <c r="O50" s="18" t="n">
        <v>7</v>
      </c>
      <c r="P50" s="23" t="n">
        <f aca="false">ROUND(O50/10, 2)</f>
        <v>0.7</v>
      </c>
      <c r="Q50" s="10" t="n">
        <v>0</v>
      </c>
      <c r="R50" s="20"/>
      <c r="S50" s="21"/>
      <c r="T50" s="22"/>
      <c r="U50" s="10" t="n">
        <f aca="false">O50*Q50</f>
        <v>0</v>
      </c>
    </row>
    <row r="51" customFormat="false" ht="13.8" hidden="false" customHeight="false" outlineLevel="0" collapsed="false">
      <c r="A51" s="16" t="s">
        <v>69</v>
      </c>
      <c r="B51" s="17" t="n">
        <v>0.8</v>
      </c>
      <c r="C51" s="17" t="n">
        <v>0</v>
      </c>
      <c r="D51" s="17" t="n">
        <v>11.3</v>
      </c>
      <c r="E51" s="17" t="n">
        <v>222</v>
      </c>
      <c r="F51" s="17" t="n">
        <v>53</v>
      </c>
      <c r="G51" s="17" t="n">
        <v>0</v>
      </c>
      <c r="H51" s="17" t="n">
        <v>0.05</v>
      </c>
      <c r="I51" s="17" t="n">
        <v>0.06</v>
      </c>
      <c r="J51" s="17" t="n">
        <v>0.4</v>
      </c>
      <c r="K51" s="17" t="n">
        <v>15</v>
      </c>
      <c r="L51" s="17" t="n">
        <v>37</v>
      </c>
      <c r="M51" s="17" t="n">
        <v>30</v>
      </c>
      <c r="N51" s="17" t="n">
        <v>1.4</v>
      </c>
      <c r="O51" s="18" t="n">
        <v>10</v>
      </c>
      <c r="P51" s="23" t="n">
        <f aca="false">ROUND(O51/10, 2)</f>
        <v>1</v>
      </c>
      <c r="Q51" s="10" t="n">
        <v>0</v>
      </c>
      <c r="R51" s="20"/>
      <c r="S51" s="21"/>
      <c r="T51" s="22"/>
      <c r="U51" s="10" t="n">
        <f aca="false">O51*Q51</f>
        <v>0</v>
      </c>
    </row>
    <row r="52" customFormat="false" ht="13.8" hidden="false" customHeight="false" outlineLevel="0" collapsed="false">
      <c r="A52" s="16" t="s">
        <v>71</v>
      </c>
      <c r="B52" s="17" t="n">
        <v>1.1</v>
      </c>
      <c r="C52" s="17" t="n">
        <v>0</v>
      </c>
      <c r="D52" s="17" t="n">
        <v>8.6</v>
      </c>
      <c r="E52" s="17" t="n">
        <v>188</v>
      </c>
      <c r="F52" s="17" t="n">
        <v>45</v>
      </c>
      <c r="G52" s="17" t="n">
        <v>0</v>
      </c>
      <c r="H52" s="17" t="n">
        <v>0.02</v>
      </c>
      <c r="I52" s="17" t="n">
        <v>0.02</v>
      </c>
      <c r="J52" s="17" t="n">
        <v>0.3</v>
      </c>
      <c r="K52" s="17" t="n">
        <v>5</v>
      </c>
      <c r="L52" s="17" t="n">
        <v>16</v>
      </c>
      <c r="M52" s="17" t="n">
        <v>13</v>
      </c>
      <c r="N52" s="17" t="n">
        <v>0.8</v>
      </c>
      <c r="O52" s="18" t="n">
        <v>14</v>
      </c>
      <c r="P52" s="23" t="n">
        <f aca="false">ROUND(O52/10, 2)</f>
        <v>1.4</v>
      </c>
      <c r="Q52" s="10" t="n">
        <v>0</v>
      </c>
      <c r="R52" s="20"/>
      <c r="S52" s="21"/>
      <c r="T52" s="22"/>
      <c r="U52" s="10" t="n">
        <f aca="false">O52*Q52</f>
        <v>0</v>
      </c>
    </row>
    <row r="53" customFormat="false" ht="13.8" hidden="false" customHeight="false" outlineLevel="0" collapsed="false">
      <c r="A53" s="16" t="s">
        <v>72</v>
      </c>
      <c r="B53" s="17" t="n">
        <v>0.8</v>
      </c>
      <c r="C53" s="17" t="n">
        <v>0</v>
      </c>
      <c r="D53" s="17" t="n">
        <v>9.9</v>
      </c>
      <c r="E53" s="17" t="n">
        <v>205</v>
      </c>
      <c r="F53" s="17" t="n">
        <v>49</v>
      </c>
      <c r="G53" s="17" t="n">
        <v>0</v>
      </c>
      <c r="H53" s="17" t="n">
        <v>0.06</v>
      </c>
      <c r="I53" s="17" t="n">
        <v>0.04</v>
      </c>
      <c r="J53" s="17" t="n">
        <v>0.5</v>
      </c>
      <c r="K53" s="17" t="n">
        <v>5</v>
      </c>
      <c r="L53" s="17" t="n">
        <v>28</v>
      </c>
      <c r="M53" s="17" t="n">
        <v>27</v>
      </c>
      <c r="N53" s="17" t="n">
        <v>2.1</v>
      </c>
      <c r="O53" s="18" t="n">
        <v>5</v>
      </c>
      <c r="P53" s="23" t="n">
        <f aca="false">ROUND(O53/10, 2)</f>
        <v>0.5</v>
      </c>
      <c r="Q53" s="10" t="n">
        <v>0</v>
      </c>
      <c r="R53" s="20"/>
      <c r="S53" s="21"/>
      <c r="T53" s="22"/>
      <c r="U53" s="10" t="n">
        <f aca="false">O53*Q53</f>
        <v>0</v>
      </c>
    </row>
    <row r="54" customFormat="false" ht="13.8" hidden="false" customHeight="false" outlineLevel="0" collapsed="false">
      <c r="A54" s="16" t="s">
        <v>73</v>
      </c>
      <c r="B54" s="17" t="n">
        <v>2.3</v>
      </c>
      <c r="C54" s="17" t="n">
        <v>0</v>
      </c>
      <c r="D54" s="17" t="n">
        <v>65.1</v>
      </c>
      <c r="E54" s="17" t="n">
        <v>1220</v>
      </c>
      <c r="F54" s="17" t="n">
        <v>291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80</v>
      </c>
      <c r="M54" s="17" t="n">
        <v>83</v>
      </c>
      <c r="N54" s="17" t="n">
        <v>3</v>
      </c>
      <c r="O54" s="18" t="n">
        <v>8.5</v>
      </c>
      <c r="P54" s="23" t="n">
        <f aca="false">ROUND(O54/10, 2)</f>
        <v>0.85</v>
      </c>
      <c r="Q54" s="10" t="n">
        <v>0</v>
      </c>
      <c r="R54" s="20"/>
      <c r="S54" s="21"/>
      <c r="T54" s="22"/>
      <c r="U54" s="10" t="n">
        <f aca="false">O54*Q54</f>
        <v>0</v>
      </c>
    </row>
    <row r="55" customFormat="false" ht="13.8" hidden="false" customHeight="false" outlineLevel="0" collapsed="false">
      <c r="A55" s="16" t="s">
        <v>74</v>
      </c>
      <c r="B55" s="17" t="n">
        <v>0.8</v>
      </c>
      <c r="C55" s="17" t="n">
        <v>0</v>
      </c>
      <c r="D55" s="17" t="n">
        <v>8</v>
      </c>
      <c r="E55" s="17" t="n">
        <v>188</v>
      </c>
      <c r="F55" s="17" t="n">
        <v>45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300</v>
      </c>
      <c r="L55" s="17" t="n">
        <v>36</v>
      </c>
      <c r="M55" s="17" t="n">
        <v>43</v>
      </c>
      <c r="N55" s="17" t="n">
        <v>0.9</v>
      </c>
      <c r="O55" s="18" t="n">
        <v>7</v>
      </c>
      <c r="P55" s="23" t="n">
        <f aca="false">ROUND(O55/10, 2)</f>
        <v>0.7</v>
      </c>
      <c r="Q55" s="10" t="n">
        <v>0</v>
      </c>
      <c r="R55" s="20"/>
      <c r="S55" s="21"/>
      <c r="T55" s="22"/>
      <c r="U55" s="10" t="n">
        <f aca="false">O55*Q55</f>
        <v>0</v>
      </c>
    </row>
    <row r="56" customFormat="false" ht="13.8" hidden="false" customHeight="false" outlineLevel="0" collapsed="false">
      <c r="A56" s="16" t="s">
        <v>75</v>
      </c>
      <c r="B56" s="17" t="n">
        <v>0.4</v>
      </c>
      <c r="C56" s="17" t="n">
        <v>0</v>
      </c>
      <c r="D56" s="17" t="n">
        <v>16.5</v>
      </c>
      <c r="E56" s="17" t="n">
        <v>306</v>
      </c>
      <c r="F56" s="17" t="n">
        <v>73</v>
      </c>
      <c r="G56" s="17" t="n">
        <v>0</v>
      </c>
      <c r="H56" s="17" t="n">
        <v>0.06</v>
      </c>
      <c r="I56" s="17" t="n">
        <v>0.04</v>
      </c>
      <c r="J56" s="17" t="n">
        <v>0.2</v>
      </c>
      <c r="K56" s="17" t="n">
        <v>3</v>
      </c>
      <c r="L56" s="17" t="n">
        <v>17</v>
      </c>
      <c r="M56" s="17" t="n">
        <v>22</v>
      </c>
      <c r="N56" s="17" t="n">
        <v>0.6</v>
      </c>
      <c r="O56" s="18" t="n">
        <v>3</v>
      </c>
      <c r="P56" s="23" t="n">
        <f aca="false">ROUND(O56/10, 2)</f>
        <v>0.3</v>
      </c>
      <c r="Q56" s="10" t="n">
        <v>0.05</v>
      </c>
      <c r="R56" s="20"/>
      <c r="S56" s="21"/>
      <c r="T56" s="22"/>
      <c r="U56" s="10" t="n">
        <f aca="false">O56*Q56</f>
        <v>0.15</v>
      </c>
    </row>
    <row r="57" customFormat="false" ht="13.8" hidden="false" customHeight="false" outlineLevel="0" collapsed="false">
      <c r="A57" s="16" t="s">
        <v>76</v>
      </c>
      <c r="B57" s="17" t="n">
        <v>1.8</v>
      </c>
      <c r="C57" s="17" t="n">
        <v>0</v>
      </c>
      <c r="D57" s="17" t="n">
        <v>8.1</v>
      </c>
      <c r="E57" s="17" t="n">
        <v>193</v>
      </c>
      <c r="F57" s="17" t="n">
        <v>46</v>
      </c>
      <c r="G57" s="17" t="n">
        <v>0</v>
      </c>
      <c r="H57" s="17" t="n">
        <v>0.03</v>
      </c>
      <c r="I57" s="17" t="n">
        <v>0.06</v>
      </c>
      <c r="J57" s="17" t="n">
        <v>0.3</v>
      </c>
      <c r="K57" s="17" t="n">
        <v>60</v>
      </c>
      <c r="L57" s="17" t="n">
        <v>22</v>
      </c>
      <c r="M57" s="17" t="n">
        <v>23</v>
      </c>
      <c r="N57" s="17" t="n">
        <v>0.7</v>
      </c>
      <c r="O57" s="18" t="n">
        <v>9</v>
      </c>
      <c r="P57" s="23" t="n">
        <f aca="false">ROUND(O57/10, 2)</f>
        <v>0.9</v>
      </c>
      <c r="Q57" s="10" t="n">
        <v>0</v>
      </c>
      <c r="R57" s="20"/>
      <c r="S57" s="21"/>
      <c r="T57" s="22"/>
      <c r="U57" s="10" t="n">
        <f aca="false">O57*Q57</f>
        <v>0</v>
      </c>
    </row>
    <row r="58" customFormat="false" ht="13.8" hidden="false" customHeight="true" outlineLevel="0" collapsed="false">
      <c r="A58" s="16" t="s">
        <v>77</v>
      </c>
      <c r="B58" s="17" t="n">
        <v>19</v>
      </c>
      <c r="C58" s="17" t="n">
        <v>58</v>
      </c>
      <c r="D58" s="17" t="n">
        <v>9</v>
      </c>
      <c r="E58" s="17" t="n">
        <v>2740</v>
      </c>
      <c r="F58" s="17" t="n">
        <v>654</v>
      </c>
      <c r="G58" s="17" t="n">
        <v>0</v>
      </c>
      <c r="H58" s="17" t="n">
        <v>0.84</v>
      </c>
      <c r="I58" s="17" t="n">
        <v>0.12</v>
      </c>
      <c r="J58" s="17" t="n">
        <v>16</v>
      </c>
      <c r="K58" s="17" t="n">
        <v>0</v>
      </c>
      <c r="L58" s="17" t="n">
        <v>44</v>
      </c>
      <c r="M58" s="17" t="n">
        <v>230</v>
      </c>
      <c r="N58" s="17" t="n">
        <v>1</v>
      </c>
      <c r="O58" s="18" t="n">
        <v>26</v>
      </c>
      <c r="P58" s="23" t="n">
        <f aca="false">ROUND(O58/10, 2)</f>
        <v>2.6</v>
      </c>
      <c r="Q58" s="10" t="n">
        <v>0</v>
      </c>
      <c r="R58" s="20" t="s">
        <v>154</v>
      </c>
      <c r="S58" s="21" t="n">
        <v>0.02</v>
      </c>
      <c r="T58" s="22" t="n">
        <f aca="false">SUM(Q58:Q61)</f>
        <v>0.02</v>
      </c>
      <c r="U58" s="10" t="n">
        <f aca="false">O58*Q58</f>
        <v>0</v>
      </c>
    </row>
    <row r="59" customFormat="false" ht="13.8" hidden="false" customHeight="false" outlineLevel="0" collapsed="false">
      <c r="A59" s="16" t="s">
        <v>78</v>
      </c>
      <c r="B59" s="17" t="n">
        <v>21</v>
      </c>
      <c r="C59" s="17" t="n">
        <v>55</v>
      </c>
      <c r="D59" s="17" t="n">
        <v>10</v>
      </c>
      <c r="E59" s="17" t="n">
        <v>2670</v>
      </c>
      <c r="F59" s="17" t="n">
        <v>639</v>
      </c>
      <c r="G59" s="17" t="n">
        <v>0</v>
      </c>
      <c r="H59" s="17" t="n">
        <v>0.25</v>
      </c>
      <c r="I59" s="17" t="n">
        <v>0.67</v>
      </c>
      <c r="J59" s="17" t="n">
        <v>4.6</v>
      </c>
      <c r="K59" s="17" t="n">
        <v>0</v>
      </c>
      <c r="L59" s="17" t="n">
        <v>247</v>
      </c>
      <c r="M59" s="17" t="n">
        <v>442</v>
      </c>
      <c r="N59" s="17" t="n">
        <v>4.2</v>
      </c>
      <c r="O59" s="18" t="n">
        <v>10</v>
      </c>
      <c r="P59" s="23" t="n">
        <f aca="false">ROUND(O59/10, 2)</f>
        <v>1</v>
      </c>
      <c r="Q59" s="10" t="n">
        <v>0</v>
      </c>
      <c r="R59" s="20"/>
      <c r="S59" s="21"/>
      <c r="T59" s="22"/>
      <c r="U59" s="10" t="n">
        <f aca="false">O59*Q59</f>
        <v>0</v>
      </c>
    </row>
    <row r="60" customFormat="false" ht="13.8" hidden="false" customHeight="false" outlineLevel="0" collapsed="false">
      <c r="A60" s="16" t="s">
        <v>79</v>
      </c>
      <c r="B60" s="17" t="n">
        <v>18</v>
      </c>
      <c r="C60" s="17" t="n">
        <v>59</v>
      </c>
      <c r="D60" s="17" t="n">
        <v>8.7</v>
      </c>
      <c r="E60" s="17" t="n">
        <v>2750</v>
      </c>
      <c r="F60" s="17" t="n">
        <v>658</v>
      </c>
      <c r="G60" s="17" t="n">
        <v>0</v>
      </c>
      <c r="H60" s="17" t="n">
        <v>0.48</v>
      </c>
      <c r="I60" s="17" t="n">
        <v>0.13</v>
      </c>
      <c r="J60" s="17" t="n">
        <v>1.2</v>
      </c>
      <c r="K60" s="17" t="n">
        <v>3</v>
      </c>
      <c r="L60" s="17" t="n">
        <v>61</v>
      </c>
      <c r="M60" s="17" t="n">
        <v>510</v>
      </c>
      <c r="N60" s="17" t="n">
        <v>2.3</v>
      </c>
      <c r="O60" s="18" t="n">
        <v>12</v>
      </c>
      <c r="P60" s="23" t="n">
        <f aca="false">ROUND(O60/10, 2)</f>
        <v>1.2</v>
      </c>
      <c r="Q60" s="10" t="n">
        <v>0</v>
      </c>
      <c r="R60" s="20"/>
      <c r="S60" s="21"/>
      <c r="T60" s="22"/>
      <c r="U60" s="10" t="n">
        <f aca="false">O60*Q60</f>
        <v>0</v>
      </c>
    </row>
    <row r="61" customFormat="false" ht="13.8" hidden="false" customHeight="false" outlineLevel="0" collapsed="false">
      <c r="A61" s="16" t="s">
        <v>80</v>
      </c>
      <c r="B61" s="17" t="n">
        <v>27.5</v>
      </c>
      <c r="C61" s="17" t="n">
        <v>44.5</v>
      </c>
      <c r="D61" s="17" t="n">
        <v>15.5</v>
      </c>
      <c r="E61" s="17" t="n">
        <v>2450</v>
      </c>
      <c r="F61" s="17" t="n">
        <v>590</v>
      </c>
      <c r="G61" s="17" t="n">
        <v>0</v>
      </c>
      <c r="H61" s="17" t="n">
        <v>0.84</v>
      </c>
      <c r="I61" s="17" t="n">
        <v>0.12</v>
      </c>
      <c r="J61" s="17" t="n">
        <v>16</v>
      </c>
      <c r="K61" s="17" t="n">
        <v>0</v>
      </c>
      <c r="L61" s="17" t="n">
        <v>61</v>
      </c>
      <c r="M61" s="17" t="n">
        <v>230</v>
      </c>
      <c r="N61" s="17" t="n">
        <v>1</v>
      </c>
      <c r="O61" s="18" t="n">
        <v>5</v>
      </c>
      <c r="P61" s="23" t="n">
        <f aca="false">ROUND(O61/10, 2)</f>
        <v>0.5</v>
      </c>
      <c r="Q61" s="10" t="n">
        <v>0.02</v>
      </c>
      <c r="R61" s="20"/>
      <c r="S61" s="21"/>
      <c r="T61" s="22"/>
      <c r="U61" s="10" t="n">
        <f aca="false">O61*Q61</f>
        <v>0.1</v>
      </c>
    </row>
    <row r="62" customFormat="false" ht="13.8" hidden="false" customHeight="true" outlineLevel="0" collapsed="false">
      <c r="A62" s="16" t="s">
        <v>81</v>
      </c>
      <c r="B62" s="17" t="n">
        <v>0</v>
      </c>
      <c r="C62" s="17" t="n">
        <v>0</v>
      </c>
      <c r="D62" s="17" t="n">
        <v>99.9</v>
      </c>
      <c r="E62" s="17" t="n">
        <v>1720</v>
      </c>
      <c r="F62" s="17" t="n">
        <v>410</v>
      </c>
      <c r="G62" s="17" t="n">
        <v>0</v>
      </c>
      <c r="H62" s="17" t="n">
        <v>0</v>
      </c>
      <c r="I62" s="17" t="n">
        <v>0</v>
      </c>
      <c r="J62" s="17" t="n">
        <v>0</v>
      </c>
      <c r="K62" s="17" t="n">
        <v>0</v>
      </c>
      <c r="L62" s="17" t="n">
        <v>0</v>
      </c>
      <c r="M62" s="17" t="n">
        <v>0</v>
      </c>
      <c r="N62" s="17" t="n">
        <v>0</v>
      </c>
      <c r="O62" s="18" t="n">
        <v>1.1</v>
      </c>
      <c r="P62" s="23" t="n">
        <f aca="false">ROUND(O62/10, 2)</f>
        <v>0.11</v>
      </c>
      <c r="Q62" s="10" t="n">
        <v>0.02</v>
      </c>
      <c r="R62" s="20" t="s">
        <v>155</v>
      </c>
      <c r="S62" s="21" t="n">
        <v>0.02</v>
      </c>
      <c r="T62" s="22" t="n">
        <f aca="false">SUM(Q62:Q70)</f>
        <v>0.02</v>
      </c>
      <c r="U62" s="10" t="n">
        <f aca="false">O62*Q62</f>
        <v>0.022</v>
      </c>
    </row>
    <row r="63" customFormat="false" ht="13.8" hidden="false" customHeight="false" outlineLevel="0" collapsed="false">
      <c r="A63" s="16" t="s">
        <v>82</v>
      </c>
      <c r="B63" s="17" t="n">
        <v>0.4</v>
      </c>
      <c r="C63" s="17" t="n">
        <v>0</v>
      </c>
      <c r="D63" s="17" t="n">
        <v>8.3</v>
      </c>
      <c r="E63" s="17" t="n">
        <v>1400</v>
      </c>
      <c r="F63" s="17" t="n">
        <v>335</v>
      </c>
      <c r="G63" s="17" t="n">
        <v>0</v>
      </c>
      <c r="H63" s="17" t="n">
        <v>0</v>
      </c>
      <c r="I63" s="17" t="n">
        <v>0.05</v>
      </c>
      <c r="J63" s="17" t="n">
        <v>0.2</v>
      </c>
      <c r="K63" s="17" t="n">
        <v>2</v>
      </c>
      <c r="L63" s="17" t="n">
        <v>5</v>
      </c>
      <c r="M63" s="17" t="n">
        <v>33</v>
      </c>
      <c r="N63" s="17" t="n">
        <v>0.6</v>
      </c>
      <c r="O63" s="18" t="n">
        <v>10.5</v>
      </c>
      <c r="P63" s="23" t="n">
        <f aca="false">ROUND(O63/10, 2)</f>
        <v>1.05</v>
      </c>
      <c r="Q63" s="10" t="n">
        <v>0</v>
      </c>
      <c r="R63" s="20"/>
      <c r="S63" s="21"/>
      <c r="T63" s="22"/>
      <c r="U63" s="10" t="n">
        <f aca="false">O63*Q63</f>
        <v>0</v>
      </c>
    </row>
    <row r="64" customFormat="false" ht="13.8" hidden="false" customHeight="false" outlineLevel="0" collapsed="false">
      <c r="A64" s="16" t="s">
        <v>83</v>
      </c>
      <c r="B64" s="17" t="n">
        <v>10.8</v>
      </c>
      <c r="C64" s="17" t="n">
        <v>8.5</v>
      </c>
      <c r="D64" s="17" t="n">
        <v>66.4</v>
      </c>
      <c r="E64" s="17" t="n">
        <v>1650</v>
      </c>
      <c r="F64" s="17" t="n">
        <v>395</v>
      </c>
      <c r="G64" s="17" t="n">
        <v>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29</v>
      </c>
      <c r="M64" s="17" t="n">
        <v>98</v>
      </c>
      <c r="N64" s="17" t="n">
        <v>2</v>
      </c>
      <c r="O64" s="18" t="n">
        <v>6</v>
      </c>
      <c r="P64" s="23" t="n">
        <f aca="false">ROUND(O64/10, 2)</f>
        <v>0.6</v>
      </c>
      <c r="Q64" s="10" t="n">
        <v>0</v>
      </c>
      <c r="R64" s="20"/>
      <c r="S64" s="21"/>
      <c r="T64" s="22"/>
      <c r="U64" s="10" t="n">
        <f aca="false">O64*Q64</f>
        <v>0</v>
      </c>
    </row>
    <row r="65" customFormat="false" ht="13.8" hidden="false" customHeight="false" outlineLevel="0" collapsed="false">
      <c r="A65" s="16" t="s">
        <v>84</v>
      </c>
      <c r="B65" s="17" t="n">
        <v>16.7</v>
      </c>
      <c r="C65" s="17" t="n">
        <v>30.4</v>
      </c>
      <c r="D65" s="17" t="n">
        <v>47.2</v>
      </c>
      <c r="E65" s="17" t="n">
        <v>2280</v>
      </c>
      <c r="F65" s="17" t="n">
        <v>545</v>
      </c>
      <c r="G65" s="17" t="n">
        <v>0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0</v>
      </c>
      <c r="O65" s="18" t="n">
        <v>6</v>
      </c>
      <c r="P65" s="23" t="n">
        <f aca="false">ROUND(O65/10, 2)</f>
        <v>0.6</v>
      </c>
      <c r="Q65" s="10" t="n">
        <v>0</v>
      </c>
      <c r="R65" s="20"/>
      <c r="S65" s="21"/>
      <c r="T65" s="22"/>
      <c r="U65" s="10" t="n">
        <f aca="false">O65*Q65</f>
        <v>0</v>
      </c>
    </row>
    <row r="66" customFormat="false" ht="13.8" hidden="false" customHeight="false" outlineLevel="0" collapsed="false">
      <c r="A66" s="16" t="s">
        <v>85</v>
      </c>
      <c r="B66" s="17" t="n">
        <v>23.6</v>
      </c>
      <c r="C66" s="17" t="n">
        <v>20.2</v>
      </c>
      <c r="D66" s="17" t="n">
        <v>40.2</v>
      </c>
      <c r="E66" s="17" t="n">
        <v>1880</v>
      </c>
      <c r="F66" s="17" t="n">
        <v>449</v>
      </c>
      <c r="G66" s="17" t="n">
        <v>0</v>
      </c>
      <c r="H66" s="17" t="n">
        <v>0</v>
      </c>
      <c r="I66" s="17" t="n">
        <v>0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8" t="n">
        <v>30</v>
      </c>
      <c r="P66" s="23" t="n">
        <f aca="false">ROUND(O66/10, 2)</f>
        <v>3</v>
      </c>
      <c r="Q66" s="10" t="n">
        <v>0</v>
      </c>
      <c r="R66" s="20"/>
      <c r="S66" s="21"/>
      <c r="T66" s="22"/>
      <c r="U66" s="10" t="n">
        <f aca="false">O66*Q66</f>
        <v>0</v>
      </c>
    </row>
    <row r="67" customFormat="false" ht="13.8" hidden="false" customHeight="false" outlineLevel="0" collapsed="false">
      <c r="A67" s="16" t="s">
        <v>86</v>
      </c>
      <c r="B67" s="17" t="n">
        <v>0</v>
      </c>
      <c r="C67" s="17" t="n">
        <v>0</v>
      </c>
      <c r="D67" s="17" t="n">
        <v>96</v>
      </c>
      <c r="E67" s="17" t="n">
        <v>1670</v>
      </c>
      <c r="F67" s="17" t="n">
        <v>398</v>
      </c>
      <c r="G67" s="17" t="n">
        <v>0</v>
      </c>
      <c r="H67" s="17" t="n">
        <v>0</v>
      </c>
      <c r="I67" s="17" t="n">
        <v>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8" t="n">
        <v>5</v>
      </c>
      <c r="P67" s="23" t="n">
        <f aca="false">ROUND(O67/10, 2)</f>
        <v>0.5</v>
      </c>
      <c r="Q67" s="10" t="n">
        <v>0</v>
      </c>
      <c r="R67" s="20"/>
      <c r="S67" s="21"/>
      <c r="T67" s="22"/>
      <c r="U67" s="10" t="n">
        <f aca="false">O67*Q67</f>
        <v>0</v>
      </c>
    </row>
    <row r="68" customFormat="false" ht="13.8" hidden="false" customHeight="false" outlineLevel="0" collapsed="false">
      <c r="A68" s="16" t="s">
        <v>87</v>
      </c>
      <c r="B68" s="17" t="n">
        <v>2.1</v>
      </c>
      <c r="C68" s="17" t="n">
        <v>8</v>
      </c>
      <c r="D68" s="17" t="n">
        <v>71.8</v>
      </c>
      <c r="E68" s="17" t="n">
        <v>1580</v>
      </c>
      <c r="F68" s="17" t="n">
        <v>378</v>
      </c>
      <c r="G68" s="17" t="n">
        <v>0</v>
      </c>
      <c r="H68" s="17" t="n">
        <v>0</v>
      </c>
      <c r="I68" s="17" t="n">
        <v>0</v>
      </c>
      <c r="J68" s="17" t="n">
        <v>0</v>
      </c>
      <c r="K68" s="17" t="n">
        <v>0</v>
      </c>
      <c r="L68" s="17" t="n">
        <v>0</v>
      </c>
      <c r="M68" s="17" t="n">
        <v>0</v>
      </c>
      <c r="N68" s="17" t="n">
        <v>0</v>
      </c>
      <c r="O68" s="18" t="n">
        <v>8</v>
      </c>
      <c r="P68" s="23" t="n">
        <f aca="false">ROUND(O68/10, 2)</f>
        <v>0.8</v>
      </c>
      <c r="Q68" s="10" t="n">
        <v>0</v>
      </c>
      <c r="R68" s="20"/>
      <c r="S68" s="21"/>
      <c r="T68" s="22"/>
      <c r="U68" s="10" t="n">
        <f aca="false">O68*Q68</f>
        <v>0</v>
      </c>
    </row>
    <row r="69" customFormat="false" ht="13.8" hidden="false" customHeight="false" outlineLevel="0" collapsed="false">
      <c r="A69" s="16" t="s">
        <v>88</v>
      </c>
      <c r="B69" s="17" t="n">
        <v>0</v>
      </c>
      <c r="C69" s="17" t="n">
        <v>0</v>
      </c>
      <c r="D69" s="17" t="n">
        <v>78</v>
      </c>
      <c r="E69" s="17" t="n">
        <v>1360</v>
      </c>
      <c r="F69" s="17" t="n">
        <v>324</v>
      </c>
      <c r="G69" s="17" t="n">
        <v>0</v>
      </c>
      <c r="H69" s="17" t="n">
        <v>0</v>
      </c>
      <c r="I69" s="17" t="n">
        <v>0</v>
      </c>
      <c r="J69" s="17" t="n">
        <v>0</v>
      </c>
      <c r="K69" s="17" t="n">
        <v>0</v>
      </c>
      <c r="L69" s="17" t="n">
        <v>0</v>
      </c>
      <c r="M69" s="17" t="n">
        <v>0</v>
      </c>
      <c r="N69" s="17" t="n">
        <v>0</v>
      </c>
      <c r="O69" s="18" t="n">
        <v>6.5</v>
      </c>
      <c r="P69" s="23" t="n">
        <f aca="false">ROUND(O69/10, 2)</f>
        <v>0.65</v>
      </c>
      <c r="Q69" s="10" t="n">
        <v>0</v>
      </c>
      <c r="R69" s="20"/>
      <c r="S69" s="21"/>
      <c r="T69" s="22"/>
      <c r="U69" s="10" t="n">
        <f aca="false">O69*Q69</f>
        <v>0</v>
      </c>
    </row>
    <row r="70" customFormat="false" ht="13.8" hidden="false" customHeight="false" outlineLevel="0" collapsed="false">
      <c r="A70" s="16" t="s">
        <v>89</v>
      </c>
      <c r="B70" s="17" t="n">
        <v>5.1</v>
      </c>
      <c r="C70" s="17" t="n">
        <v>33.1</v>
      </c>
      <c r="D70" s="17" t="n">
        <v>58.9</v>
      </c>
      <c r="E70" s="17" t="n">
        <v>2390</v>
      </c>
      <c r="F70" s="17" t="n">
        <v>570</v>
      </c>
      <c r="G70" s="17" t="n">
        <v>0</v>
      </c>
      <c r="H70" s="17" t="n">
        <v>0</v>
      </c>
      <c r="I70" s="17" t="n">
        <v>0</v>
      </c>
      <c r="J70" s="17" t="n">
        <v>0</v>
      </c>
      <c r="K70" s="17" t="n">
        <v>0</v>
      </c>
      <c r="L70" s="17" t="n">
        <v>49</v>
      </c>
      <c r="M70" s="17" t="n">
        <v>225</v>
      </c>
      <c r="N70" s="17" t="n">
        <v>2.2</v>
      </c>
      <c r="O70" s="18" t="n">
        <v>14.5</v>
      </c>
      <c r="P70" s="23" t="n">
        <f aca="false">ROUND(O70/10, 2)</f>
        <v>1.45</v>
      </c>
      <c r="Q70" s="10" t="n">
        <v>0</v>
      </c>
      <c r="R70" s="20"/>
      <c r="S70" s="21"/>
      <c r="T70" s="22"/>
      <c r="U70" s="10" t="n">
        <f aca="false">O70*Q70</f>
        <v>0</v>
      </c>
    </row>
    <row r="71" customFormat="false" ht="13.8" hidden="false" customHeight="true" outlineLevel="0" collapsed="false">
      <c r="A71" s="16" t="s">
        <v>94</v>
      </c>
      <c r="B71" s="17" t="n">
        <v>0.5</v>
      </c>
      <c r="C71" s="17" t="n">
        <v>82</v>
      </c>
      <c r="D71" s="17" t="n">
        <v>0.4</v>
      </c>
      <c r="E71" s="17" t="n">
        <v>3210</v>
      </c>
      <c r="F71" s="17" t="n">
        <v>766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8" t="n">
        <v>2.5</v>
      </c>
      <c r="P71" s="23" t="n">
        <f aca="false">ROUND(O71/10, 2)</f>
        <v>0.25</v>
      </c>
      <c r="Q71" s="10" t="n">
        <v>0</v>
      </c>
      <c r="R71" s="20" t="s">
        <v>156</v>
      </c>
      <c r="S71" s="21" t="n">
        <v>0.02</v>
      </c>
      <c r="T71" s="22" t="n">
        <f aca="false">SUM(Q71:Q72)</f>
        <v>0.02</v>
      </c>
      <c r="U71" s="10" t="n">
        <f aca="false">O71*Q71</f>
        <v>0</v>
      </c>
    </row>
    <row r="72" customFormat="false" ht="13.8" hidden="false" customHeight="false" outlineLevel="0" collapsed="false">
      <c r="A72" s="16" t="s">
        <v>95</v>
      </c>
      <c r="B72" s="17" t="n">
        <v>0</v>
      </c>
      <c r="C72" s="17" t="n">
        <v>99.8</v>
      </c>
      <c r="D72" s="17" t="n">
        <v>0</v>
      </c>
      <c r="E72" s="17" t="n">
        <v>3890</v>
      </c>
      <c r="F72" s="17" t="n">
        <v>928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0</v>
      </c>
      <c r="O72" s="18" t="n">
        <v>2</v>
      </c>
      <c r="P72" s="23" t="n">
        <f aca="false">ROUND(O72/10, 2)</f>
        <v>0.2</v>
      </c>
      <c r="Q72" s="10" t="n">
        <v>0.02</v>
      </c>
      <c r="R72" s="20"/>
      <c r="S72" s="21"/>
      <c r="T72" s="22"/>
      <c r="U72" s="10" t="n">
        <f aca="false">O72*Q72</f>
        <v>0.04</v>
      </c>
    </row>
    <row r="73" customFormat="false" ht="13.8" hidden="false" customHeight="true" outlineLevel="0" collapsed="false">
      <c r="A73" s="16" t="s">
        <v>90</v>
      </c>
      <c r="B73" s="17" t="n">
        <v>2</v>
      </c>
      <c r="C73" s="17" t="n">
        <v>91</v>
      </c>
      <c r="D73" s="17" t="n">
        <v>0</v>
      </c>
      <c r="E73" s="17" t="n">
        <v>3560</v>
      </c>
      <c r="F73" s="17" t="n">
        <v>854</v>
      </c>
      <c r="G73" s="17" t="n">
        <v>0</v>
      </c>
      <c r="H73" s="17" t="n">
        <v>0</v>
      </c>
      <c r="I73" s="17" t="n">
        <v>0</v>
      </c>
      <c r="J73" s="17" t="n">
        <v>0</v>
      </c>
      <c r="K73" s="17" t="n">
        <v>0</v>
      </c>
      <c r="L73" s="17" t="n">
        <v>0</v>
      </c>
      <c r="M73" s="17" t="n">
        <v>0</v>
      </c>
      <c r="N73" s="17" t="n">
        <v>0</v>
      </c>
      <c r="O73" s="18" t="n">
        <v>7</v>
      </c>
      <c r="P73" s="23" t="n">
        <f aca="false">ROUND(O73/10, 2)</f>
        <v>0.7</v>
      </c>
      <c r="Q73" s="10" t="n">
        <v>0</v>
      </c>
      <c r="R73" s="20" t="s">
        <v>157</v>
      </c>
      <c r="S73" s="21" t="n">
        <v>0.15</v>
      </c>
      <c r="T73" s="22" t="n">
        <f aca="false">SUM(Q73:Q93)</f>
        <v>0.71836133735</v>
      </c>
      <c r="U73" s="10" t="n">
        <f aca="false">O73*Q73</f>
        <v>0</v>
      </c>
    </row>
    <row r="74" customFormat="false" ht="13.8" hidden="false" customHeight="false" outlineLevel="0" collapsed="false">
      <c r="A74" s="16" t="s">
        <v>91</v>
      </c>
      <c r="B74" s="17" t="n">
        <v>0</v>
      </c>
      <c r="C74" s="17" t="n">
        <v>99.7</v>
      </c>
      <c r="D74" s="17" t="n">
        <v>0</v>
      </c>
      <c r="E74" s="17" t="n">
        <v>3880</v>
      </c>
      <c r="F74" s="17" t="n">
        <v>927</v>
      </c>
      <c r="G74" s="17" t="n">
        <v>0</v>
      </c>
      <c r="H74" s="17" t="n">
        <v>0</v>
      </c>
      <c r="I74" s="17" t="n">
        <v>0</v>
      </c>
      <c r="J74" s="17" t="n">
        <v>0</v>
      </c>
      <c r="K74" s="17" t="n">
        <v>0</v>
      </c>
      <c r="L74" s="17" t="n">
        <v>0</v>
      </c>
      <c r="M74" s="17" t="n">
        <v>0</v>
      </c>
      <c r="N74" s="17" t="n">
        <v>0</v>
      </c>
      <c r="O74" s="18" t="n">
        <v>6</v>
      </c>
      <c r="P74" s="23" t="n">
        <f aca="false">ROUND(O74/10, 2)</f>
        <v>0.6</v>
      </c>
      <c r="Q74" s="10" t="n">
        <v>0</v>
      </c>
      <c r="R74" s="20"/>
      <c r="S74" s="21"/>
      <c r="T74" s="22"/>
      <c r="U74" s="10" t="n">
        <f aca="false">O74*Q74</f>
        <v>0</v>
      </c>
    </row>
    <row r="75" customFormat="false" ht="13.8" hidden="false" customHeight="false" outlineLevel="0" collapsed="false">
      <c r="A75" s="16" t="s">
        <v>92</v>
      </c>
      <c r="B75" s="17" t="n">
        <v>0</v>
      </c>
      <c r="C75" s="17" t="n">
        <v>99.5</v>
      </c>
      <c r="D75" s="17" t="n">
        <v>0</v>
      </c>
      <c r="E75" s="17" t="n">
        <v>3870</v>
      </c>
      <c r="F75" s="17" t="n">
        <v>925</v>
      </c>
      <c r="G75" s="17" t="n">
        <v>0</v>
      </c>
      <c r="H75" s="17" t="n">
        <v>0</v>
      </c>
      <c r="I75" s="17" t="n">
        <v>0</v>
      </c>
      <c r="J75" s="17" t="n">
        <v>0</v>
      </c>
      <c r="K75" s="17" t="n">
        <v>0</v>
      </c>
      <c r="L75" s="17" t="n">
        <v>0</v>
      </c>
      <c r="M75" s="17" t="n">
        <v>0</v>
      </c>
      <c r="N75" s="17" t="n">
        <v>0</v>
      </c>
      <c r="O75" s="18" t="n">
        <v>99999</v>
      </c>
      <c r="P75" s="23" t="n">
        <f aca="false">ROUND(O75/10, 2)</f>
        <v>9999.9</v>
      </c>
      <c r="Q75" s="10" t="n">
        <v>0</v>
      </c>
      <c r="R75" s="20"/>
      <c r="S75" s="21"/>
      <c r="T75" s="22"/>
      <c r="U75" s="10" t="n">
        <f aca="false">O75*Q75</f>
        <v>0</v>
      </c>
    </row>
    <row r="76" customFormat="false" ht="13.8" hidden="false" customHeight="false" outlineLevel="0" collapsed="false">
      <c r="A76" s="16" t="s">
        <v>93</v>
      </c>
      <c r="B76" s="17" t="n">
        <v>0</v>
      </c>
      <c r="C76" s="17" t="n">
        <v>99.8</v>
      </c>
      <c r="D76" s="17" t="n">
        <v>0</v>
      </c>
      <c r="E76" s="17" t="n">
        <v>3890</v>
      </c>
      <c r="F76" s="17" t="n">
        <v>928</v>
      </c>
      <c r="G76" s="17" t="n">
        <v>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0</v>
      </c>
      <c r="O76" s="18" t="n">
        <v>1.5</v>
      </c>
      <c r="P76" s="23" t="n">
        <f aca="false">ROUND(O76/10, 2)</f>
        <v>0.15</v>
      </c>
      <c r="Q76" s="10" t="n">
        <v>0.6311241787</v>
      </c>
      <c r="R76" s="20"/>
      <c r="S76" s="21"/>
      <c r="T76" s="22"/>
      <c r="U76" s="10" t="n">
        <f aca="false">O76*Q76</f>
        <v>0.94668626805</v>
      </c>
    </row>
    <row r="77" customFormat="false" ht="13.8" hidden="false" customHeight="false" outlineLevel="0" collapsed="false">
      <c r="A77" s="16" t="s">
        <v>110</v>
      </c>
      <c r="B77" s="17" t="n">
        <v>16.4</v>
      </c>
      <c r="C77" s="17" t="n">
        <v>17</v>
      </c>
      <c r="D77" s="17" t="n">
        <v>0</v>
      </c>
      <c r="E77" s="17" t="n">
        <v>940</v>
      </c>
      <c r="F77" s="17" t="n">
        <v>225</v>
      </c>
      <c r="G77" s="17" t="n">
        <v>0</v>
      </c>
      <c r="H77" s="17" t="n">
        <v>0.17</v>
      </c>
      <c r="I77" s="17" t="n">
        <v>0.15</v>
      </c>
      <c r="J77" s="17" t="n">
        <v>5.8</v>
      </c>
      <c r="K77" s="17" t="n">
        <v>0</v>
      </c>
      <c r="L77" s="17" t="n">
        <v>9</v>
      </c>
      <c r="M77" s="17" t="n">
        <v>177</v>
      </c>
      <c r="N77" s="17" t="n">
        <v>2.5</v>
      </c>
      <c r="O77" s="18" t="n">
        <v>22</v>
      </c>
      <c r="P77" s="23" t="n">
        <f aca="false">ROUND(O77/10, 2)</f>
        <v>2.2</v>
      </c>
      <c r="Q77" s="10" t="n">
        <v>0</v>
      </c>
      <c r="R77" s="20"/>
      <c r="S77" s="21"/>
      <c r="T77" s="22"/>
      <c r="U77" s="10" t="n">
        <f aca="false">O77*Q77</f>
        <v>0</v>
      </c>
    </row>
    <row r="78" customFormat="false" ht="13.8" hidden="false" customHeight="false" outlineLevel="0" collapsed="false">
      <c r="A78" s="16" t="s">
        <v>111</v>
      </c>
      <c r="B78" s="17" t="n">
        <v>14.5</v>
      </c>
      <c r="C78" s="17" t="n">
        <v>37.3</v>
      </c>
      <c r="D78" s="17" t="n">
        <v>0</v>
      </c>
      <c r="E78" s="17" t="n">
        <v>1700</v>
      </c>
      <c r="F78" s="17" t="n">
        <v>406</v>
      </c>
      <c r="G78" s="17" t="n">
        <v>0</v>
      </c>
      <c r="H78" s="17" t="n">
        <v>0.93</v>
      </c>
      <c r="I78" s="17" t="n">
        <v>0.16</v>
      </c>
      <c r="J78" s="17" t="n">
        <v>2.7</v>
      </c>
      <c r="K78" s="17" t="n">
        <v>0</v>
      </c>
      <c r="L78" s="17" t="n">
        <v>8</v>
      </c>
      <c r="M78" s="17" t="n">
        <v>156</v>
      </c>
      <c r="N78" s="17" t="n">
        <v>2.2</v>
      </c>
      <c r="O78" s="18" t="n">
        <v>7</v>
      </c>
      <c r="P78" s="23" t="n">
        <f aca="false">ROUND(O78/10, 2)</f>
        <v>0.7</v>
      </c>
      <c r="Q78" s="10" t="n">
        <v>0</v>
      </c>
      <c r="R78" s="20"/>
      <c r="S78" s="21"/>
      <c r="T78" s="22"/>
      <c r="U78" s="10" t="n">
        <f aca="false">O78*Q78</f>
        <v>0</v>
      </c>
    </row>
    <row r="79" customFormat="false" ht="13.8" hidden="false" customHeight="false" outlineLevel="0" collapsed="false">
      <c r="A79" s="16" t="s">
        <v>112</v>
      </c>
      <c r="B79" s="17" t="n">
        <v>16.5</v>
      </c>
      <c r="C79" s="17" t="n">
        <v>21.5</v>
      </c>
      <c r="D79" s="17" t="n">
        <v>0</v>
      </c>
      <c r="E79" s="17" t="n">
        <v>1120</v>
      </c>
      <c r="F79" s="17" t="n">
        <v>268</v>
      </c>
      <c r="G79" s="17" t="n">
        <v>0</v>
      </c>
      <c r="H79" s="17" t="n">
        <v>0.93</v>
      </c>
      <c r="I79" s="17" t="n">
        <v>0.16</v>
      </c>
      <c r="J79" s="17" t="n">
        <v>2.7</v>
      </c>
      <c r="K79" s="17" t="n">
        <v>0</v>
      </c>
      <c r="L79" s="17" t="n">
        <v>9</v>
      </c>
      <c r="M79" s="17" t="n">
        <v>178</v>
      </c>
      <c r="N79" s="17" t="n">
        <v>2.5</v>
      </c>
      <c r="O79" s="18" t="n">
        <v>9</v>
      </c>
      <c r="P79" s="23" t="n">
        <f aca="false">ROUND(O79/10, 2)</f>
        <v>0.9</v>
      </c>
      <c r="Q79" s="10" t="n">
        <v>0</v>
      </c>
      <c r="R79" s="20"/>
      <c r="S79" s="21"/>
      <c r="T79" s="22"/>
      <c r="U79" s="10" t="n">
        <f aca="false">O79*Q79</f>
        <v>0</v>
      </c>
    </row>
    <row r="80" customFormat="false" ht="13.8" hidden="false" customHeight="false" outlineLevel="0" collapsed="false">
      <c r="A80" s="16" t="s">
        <v>113</v>
      </c>
      <c r="B80" s="17" t="n">
        <v>18</v>
      </c>
      <c r="C80" s="17" t="n">
        <v>10.5</v>
      </c>
      <c r="D80" s="17" t="n">
        <v>0</v>
      </c>
      <c r="E80" s="17" t="n">
        <v>720</v>
      </c>
      <c r="F80" s="17" t="n">
        <v>171</v>
      </c>
      <c r="G80" s="17" t="n">
        <v>0.01</v>
      </c>
      <c r="H80" s="17" t="n">
        <v>0.1</v>
      </c>
      <c r="I80" s="17" t="n">
        <v>0.17</v>
      </c>
      <c r="J80" s="17" t="n">
        <v>4.2</v>
      </c>
      <c r="K80" s="17" t="n">
        <v>0</v>
      </c>
      <c r="L80" s="17" t="n">
        <v>10</v>
      </c>
      <c r="M80" s="17" t="n">
        <v>194</v>
      </c>
      <c r="N80" s="17" t="n">
        <v>2.7</v>
      </c>
      <c r="O80" s="18" t="n">
        <v>12.5</v>
      </c>
      <c r="P80" s="23" t="n">
        <f aca="false">ROUND(O80/10, 2)</f>
        <v>1.25</v>
      </c>
      <c r="Q80" s="10" t="n">
        <v>0</v>
      </c>
      <c r="R80" s="20"/>
      <c r="S80" s="21"/>
      <c r="T80" s="22"/>
      <c r="U80" s="10" t="n">
        <f aca="false">O80*Q80</f>
        <v>0</v>
      </c>
    </row>
    <row r="81" customFormat="false" ht="13.8" hidden="false" customHeight="false" outlineLevel="0" collapsed="false">
      <c r="A81" s="16" t="s">
        <v>114</v>
      </c>
      <c r="B81" s="17" t="n">
        <v>4.6</v>
      </c>
      <c r="C81" s="17" t="n">
        <v>23.9</v>
      </c>
      <c r="D81" s="17" t="n">
        <v>0</v>
      </c>
      <c r="E81" s="17" t="n">
        <v>1010</v>
      </c>
      <c r="F81" s="17" t="n">
        <v>241</v>
      </c>
      <c r="G81" s="17" t="n">
        <v>0.13</v>
      </c>
      <c r="H81" s="17" t="n">
        <v>0.15</v>
      </c>
      <c r="I81" s="17" t="n">
        <v>0.09</v>
      </c>
      <c r="J81" s="17" t="n">
        <v>2.7</v>
      </c>
      <c r="K81" s="17" t="n">
        <v>0</v>
      </c>
      <c r="L81" s="17" t="n">
        <v>6</v>
      </c>
      <c r="M81" s="17" t="n">
        <v>0</v>
      </c>
      <c r="N81" s="17" t="n">
        <v>0.8</v>
      </c>
      <c r="O81" s="18" t="n">
        <v>9.5</v>
      </c>
      <c r="P81" s="23" t="n">
        <f aca="false">ROUND(O81/10, 2)</f>
        <v>0.95</v>
      </c>
      <c r="Q81" s="10" t="n">
        <v>0</v>
      </c>
      <c r="R81" s="20"/>
      <c r="S81" s="21"/>
      <c r="T81" s="22"/>
      <c r="U81" s="10" t="n">
        <f aca="false">O81*Q81</f>
        <v>0</v>
      </c>
    </row>
    <row r="82" customFormat="false" ht="13.8" hidden="false" customHeight="false" outlineLevel="0" collapsed="false">
      <c r="A82" s="16" t="s">
        <v>115</v>
      </c>
      <c r="B82" s="17" t="n">
        <v>19</v>
      </c>
      <c r="C82" s="17" t="n">
        <v>7.5</v>
      </c>
      <c r="D82" s="17" t="n">
        <v>0</v>
      </c>
      <c r="E82" s="17" t="n">
        <v>620</v>
      </c>
      <c r="F82" s="17" t="n">
        <v>147</v>
      </c>
      <c r="G82" s="17" t="n">
        <v>0.01</v>
      </c>
      <c r="H82" s="17" t="n">
        <v>0.23</v>
      </c>
      <c r="I82" s="17" t="n">
        <v>0.25</v>
      </c>
      <c r="J82" s="17" t="n">
        <v>6.2</v>
      </c>
      <c r="K82" s="17" t="n">
        <v>0</v>
      </c>
      <c r="L82" s="17" t="n">
        <v>8</v>
      </c>
      <c r="M82" s="17" t="n">
        <v>188</v>
      </c>
      <c r="N82" s="17" t="n">
        <v>1.7</v>
      </c>
      <c r="O82" s="18" t="n">
        <v>14</v>
      </c>
      <c r="P82" s="23" t="n">
        <f aca="false">ROUND(O82/10, 2)</f>
        <v>1.4</v>
      </c>
      <c r="Q82" s="10" t="n">
        <v>0</v>
      </c>
      <c r="R82" s="20"/>
      <c r="S82" s="21"/>
      <c r="T82" s="22"/>
      <c r="U82" s="10" t="n">
        <f aca="false">O82*Q82</f>
        <v>0</v>
      </c>
    </row>
    <row r="83" customFormat="false" ht="13.8" hidden="false" customHeight="false" outlineLevel="0" collapsed="false">
      <c r="A83" s="16" t="s">
        <v>116</v>
      </c>
      <c r="B83" s="17" t="n">
        <v>8.8</v>
      </c>
      <c r="C83" s="17" t="n">
        <v>7.2</v>
      </c>
      <c r="D83" s="17" t="n">
        <v>0</v>
      </c>
      <c r="E83" s="17" t="n">
        <v>440</v>
      </c>
      <c r="F83" s="17" t="n">
        <v>104</v>
      </c>
      <c r="G83" s="17" t="n">
        <v>0.09</v>
      </c>
      <c r="H83" s="17" t="n">
        <v>0.03</v>
      </c>
      <c r="I83" s="17" t="n">
        <v>0.04</v>
      </c>
      <c r="J83" s="17" t="n">
        <v>3.6</v>
      </c>
      <c r="K83" s="17" t="n">
        <v>0</v>
      </c>
      <c r="L83" s="17" t="n">
        <v>12</v>
      </c>
      <c r="M83" s="17" t="n">
        <v>155</v>
      </c>
      <c r="N83" s="17" t="n">
        <v>1.5</v>
      </c>
      <c r="O83" s="18" t="n">
        <v>10.5</v>
      </c>
      <c r="P83" s="23" t="n">
        <f aca="false">ROUND(O83/10, 2)</f>
        <v>1.05</v>
      </c>
      <c r="Q83" s="10" t="n">
        <v>0</v>
      </c>
      <c r="R83" s="20"/>
      <c r="S83" s="21"/>
      <c r="T83" s="22"/>
      <c r="U83" s="10" t="n">
        <f aca="false">O83*Q83</f>
        <v>0</v>
      </c>
    </row>
    <row r="84" customFormat="false" ht="13.8" hidden="false" customHeight="false" outlineLevel="0" collapsed="false">
      <c r="A84" s="16" t="s">
        <v>117</v>
      </c>
      <c r="B84" s="17" t="n">
        <v>12.7</v>
      </c>
      <c r="C84" s="17" t="n">
        <v>5.3</v>
      </c>
      <c r="D84" s="17" t="n">
        <v>0</v>
      </c>
      <c r="E84" s="17" t="n">
        <v>420</v>
      </c>
      <c r="F84" s="17" t="n">
        <v>101</v>
      </c>
      <c r="G84" s="17" t="n">
        <v>0</v>
      </c>
      <c r="H84" s="17" t="n">
        <v>0.05</v>
      </c>
      <c r="I84" s="17" t="n">
        <v>0.04</v>
      </c>
      <c r="J84" s="17" t="n">
        <v>5.3</v>
      </c>
      <c r="K84" s="17" t="n">
        <v>0</v>
      </c>
      <c r="L84" s="17" t="n">
        <v>15</v>
      </c>
      <c r="M84" s="17" t="n">
        <v>157</v>
      </c>
      <c r="N84" s="17" t="n">
        <v>1.1</v>
      </c>
      <c r="O84" s="18" t="n">
        <v>13.5</v>
      </c>
      <c r="P84" s="23" t="n">
        <f aca="false">ROUND(O84/10, 2)</f>
        <v>1.35</v>
      </c>
      <c r="Q84" s="10" t="n">
        <v>0</v>
      </c>
      <c r="R84" s="20"/>
      <c r="S84" s="21"/>
      <c r="T84" s="22"/>
      <c r="U84" s="10" t="n">
        <f aca="false">O84*Q84</f>
        <v>0</v>
      </c>
    </row>
    <row r="85" customFormat="false" ht="13.8" hidden="false" customHeight="false" outlineLevel="0" collapsed="false">
      <c r="A85" s="16" t="s">
        <v>118</v>
      </c>
      <c r="B85" s="17" t="n">
        <v>8.9</v>
      </c>
      <c r="C85" s="17" t="n">
        <v>6.4</v>
      </c>
      <c r="D85" s="17" t="n">
        <v>0</v>
      </c>
      <c r="E85" s="17" t="n">
        <v>400</v>
      </c>
      <c r="F85" s="17" t="n">
        <v>96</v>
      </c>
      <c r="G85" s="17" t="n">
        <v>0.06</v>
      </c>
      <c r="H85" s="17" t="n">
        <v>0.08</v>
      </c>
      <c r="I85" s="17" t="n">
        <v>0.08</v>
      </c>
      <c r="J85" s="17" t="n">
        <v>4.2</v>
      </c>
      <c r="K85" s="17" t="n">
        <v>0</v>
      </c>
      <c r="L85" s="17" t="n">
        <v>6</v>
      </c>
      <c r="M85" s="17" t="n">
        <v>99</v>
      </c>
      <c r="N85" s="17" t="n">
        <v>0.8</v>
      </c>
      <c r="O85" s="18" t="n">
        <v>6.5</v>
      </c>
      <c r="P85" s="23" t="n">
        <f aca="false">ROUND(O85/10, 2)</f>
        <v>0.65</v>
      </c>
      <c r="Q85" s="10" t="n">
        <v>0</v>
      </c>
      <c r="R85" s="20"/>
      <c r="S85" s="21"/>
      <c r="T85" s="22"/>
      <c r="U85" s="10" t="n">
        <f aca="false">O85*Q85</f>
        <v>0</v>
      </c>
    </row>
    <row r="86" customFormat="false" ht="13.8" hidden="false" customHeight="false" outlineLevel="0" collapsed="false">
      <c r="A86" s="16" t="s">
        <v>119</v>
      </c>
      <c r="B86" s="17" t="n">
        <v>14</v>
      </c>
      <c r="C86" s="17" t="n">
        <v>39</v>
      </c>
      <c r="D86" s="17" t="n">
        <v>0</v>
      </c>
      <c r="E86" s="17" t="n">
        <v>1770</v>
      </c>
      <c r="F86" s="17" t="n">
        <v>422</v>
      </c>
      <c r="G86" s="17" t="n">
        <v>0.27</v>
      </c>
      <c r="H86" s="17" t="n">
        <v>0.2</v>
      </c>
      <c r="I86" s="17" t="n">
        <v>0.19</v>
      </c>
      <c r="J86" s="17" t="n">
        <v>5.7</v>
      </c>
      <c r="K86" s="17" t="n">
        <v>0</v>
      </c>
      <c r="L86" s="17" t="n">
        <v>13</v>
      </c>
      <c r="M86" s="17" t="n">
        <v>210</v>
      </c>
      <c r="N86" s="17" t="n">
        <v>1.8</v>
      </c>
      <c r="O86" s="18" t="n">
        <v>12.5</v>
      </c>
      <c r="P86" s="23" t="n">
        <f aca="false">ROUND(O86/10, 2)</f>
        <v>1.25</v>
      </c>
      <c r="Q86" s="10" t="n">
        <v>0</v>
      </c>
      <c r="R86" s="20"/>
      <c r="S86" s="21"/>
      <c r="T86" s="22"/>
      <c r="U86" s="10" t="n">
        <f aca="false">O86*Q86</f>
        <v>0</v>
      </c>
    </row>
    <row r="87" customFormat="false" ht="13.8" hidden="false" customHeight="false" outlineLevel="0" collapsed="false">
      <c r="A87" s="16" t="s">
        <v>120</v>
      </c>
      <c r="B87" s="17" t="n">
        <v>12.4</v>
      </c>
      <c r="C87" s="17" t="n">
        <v>19.4</v>
      </c>
      <c r="D87" s="17" t="n">
        <v>0.4</v>
      </c>
      <c r="E87" s="17" t="n">
        <v>980</v>
      </c>
      <c r="F87" s="17" t="n">
        <v>233</v>
      </c>
      <c r="G87" s="17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7</v>
      </c>
      <c r="M87" s="17" t="n">
        <v>134</v>
      </c>
      <c r="N87" s="17" t="n">
        <v>1.9</v>
      </c>
      <c r="O87" s="18" t="n">
        <v>7.8</v>
      </c>
      <c r="P87" s="23" t="n">
        <f aca="false">ROUND(O87/10, 2)</f>
        <v>0.78</v>
      </c>
      <c r="Q87" s="10" t="n">
        <v>0</v>
      </c>
      <c r="R87" s="20"/>
      <c r="S87" s="21"/>
      <c r="T87" s="22"/>
      <c r="U87" s="10" t="n">
        <f aca="false">O87*Q87</f>
        <v>0</v>
      </c>
    </row>
    <row r="88" customFormat="false" ht="13.8" hidden="false" customHeight="false" outlineLevel="0" collapsed="false">
      <c r="A88" s="16" t="s">
        <v>121</v>
      </c>
      <c r="B88" s="17" t="n">
        <v>18.8</v>
      </c>
      <c r="C88" s="17" t="n">
        <v>3.6</v>
      </c>
      <c r="D88" s="17" t="n">
        <v>0</v>
      </c>
      <c r="E88" s="17" t="n">
        <v>540</v>
      </c>
      <c r="F88" s="17" t="n">
        <v>130</v>
      </c>
      <c r="G88" s="17" t="n">
        <v>6</v>
      </c>
      <c r="H88" s="17" t="n">
        <v>0.4</v>
      </c>
      <c r="I88" s="17" t="n">
        <v>0</v>
      </c>
      <c r="J88" s="17" t="n">
        <v>0</v>
      </c>
      <c r="K88" s="17" t="n">
        <v>0</v>
      </c>
      <c r="L88" s="17" t="n">
        <v>7</v>
      </c>
      <c r="M88" s="17" t="n">
        <v>353</v>
      </c>
      <c r="N88" s="17" t="n">
        <v>12</v>
      </c>
      <c r="O88" s="18" t="n">
        <v>3.6</v>
      </c>
      <c r="P88" s="23" t="n">
        <f aca="false">ROUND(O88/10, 2)</f>
        <v>0.36</v>
      </c>
      <c r="Q88" s="10" t="n">
        <v>0</v>
      </c>
      <c r="R88" s="20"/>
      <c r="S88" s="21"/>
      <c r="T88" s="22"/>
      <c r="U88" s="10" t="n">
        <f aca="false">O88*Q88</f>
        <v>0</v>
      </c>
    </row>
    <row r="89" customFormat="false" ht="13.8" hidden="false" customHeight="false" outlineLevel="0" collapsed="false">
      <c r="A89" s="16" t="s">
        <v>122</v>
      </c>
      <c r="B89" s="17" t="n">
        <v>13.7</v>
      </c>
      <c r="C89" s="17" t="n">
        <v>27.9</v>
      </c>
      <c r="D89" s="17" t="n">
        <v>0</v>
      </c>
      <c r="E89" s="17" t="n">
        <v>1320</v>
      </c>
      <c r="F89" s="17" t="n">
        <v>316</v>
      </c>
      <c r="G89" s="17" t="n">
        <v>0</v>
      </c>
      <c r="H89" s="17" t="n">
        <v>0.34</v>
      </c>
      <c r="I89" s="17" t="n">
        <v>0</v>
      </c>
      <c r="J89" s="17" t="n">
        <v>0</v>
      </c>
      <c r="K89" s="17" t="n">
        <v>0</v>
      </c>
      <c r="L89" s="17" t="n">
        <v>7</v>
      </c>
      <c r="M89" s="17" t="n">
        <v>139</v>
      </c>
      <c r="N89" s="17" t="n">
        <v>1.9</v>
      </c>
      <c r="O89" s="18" t="n">
        <v>6.5</v>
      </c>
      <c r="P89" s="23" t="n">
        <f aca="false">ROUND(O89/10, 2)</f>
        <v>0.65</v>
      </c>
      <c r="Q89" s="10" t="n">
        <v>0</v>
      </c>
      <c r="R89" s="20"/>
      <c r="S89" s="21"/>
      <c r="T89" s="22"/>
      <c r="U89" s="10" t="n">
        <f aca="false">O89*Q89</f>
        <v>0</v>
      </c>
    </row>
    <row r="90" customFormat="false" ht="13.8" hidden="false" customHeight="false" outlineLevel="0" collapsed="false">
      <c r="A90" s="16" t="s">
        <v>123</v>
      </c>
      <c r="B90" s="17" t="n">
        <v>17.7</v>
      </c>
      <c r="C90" s="17" t="n">
        <v>38.1</v>
      </c>
      <c r="D90" s="17" t="n">
        <v>0</v>
      </c>
      <c r="E90" s="17" t="n">
        <v>1790</v>
      </c>
      <c r="F90" s="17" t="n">
        <v>427</v>
      </c>
      <c r="G90" s="17" t="n">
        <v>0</v>
      </c>
      <c r="H90" s="17" t="n">
        <v>0</v>
      </c>
      <c r="I90" s="17" t="n">
        <v>0</v>
      </c>
      <c r="J90" s="17" t="n">
        <v>0</v>
      </c>
      <c r="K90" s="17" t="n">
        <v>0</v>
      </c>
      <c r="L90" s="17" t="n">
        <v>65</v>
      </c>
      <c r="M90" s="17" t="n">
        <v>178</v>
      </c>
      <c r="N90" s="17" t="n">
        <v>5.3</v>
      </c>
      <c r="O90" s="18" t="n">
        <v>14.5</v>
      </c>
      <c r="P90" s="23" t="n">
        <f aca="false">ROUND(O90/10, 2)</f>
        <v>1.45</v>
      </c>
      <c r="Q90" s="10" t="n">
        <v>0</v>
      </c>
      <c r="R90" s="20"/>
      <c r="S90" s="21"/>
      <c r="T90" s="22"/>
      <c r="U90" s="10" t="n">
        <f aca="false">O90*Q90</f>
        <v>0</v>
      </c>
    </row>
    <row r="91" customFormat="false" ht="13.8" hidden="false" customHeight="false" outlineLevel="0" collapsed="false">
      <c r="A91" s="16" t="s">
        <v>124</v>
      </c>
      <c r="B91" s="17" t="n">
        <v>17.4</v>
      </c>
      <c r="C91" s="17" t="n">
        <v>3.1</v>
      </c>
      <c r="D91" s="17" t="n">
        <v>0</v>
      </c>
      <c r="E91" s="17" t="n">
        <v>510</v>
      </c>
      <c r="F91" s="17" t="n">
        <v>122</v>
      </c>
      <c r="G91" s="17" t="n">
        <v>15</v>
      </c>
      <c r="H91" s="17" t="n">
        <v>0.4</v>
      </c>
      <c r="I91" s="17" t="n">
        <v>1.61</v>
      </c>
      <c r="J91" s="17" t="n">
        <v>15.3</v>
      </c>
      <c r="K91" s="17" t="n">
        <v>25</v>
      </c>
      <c r="L91" s="17" t="n">
        <v>5</v>
      </c>
      <c r="M91" s="17" t="n">
        <v>340</v>
      </c>
      <c r="N91" s="17" t="n">
        <v>9</v>
      </c>
      <c r="O91" s="18" t="n">
        <v>3</v>
      </c>
      <c r="P91" s="23" t="n">
        <f aca="false">ROUND(O91/10, 2)</f>
        <v>0.3</v>
      </c>
      <c r="Q91" s="10" t="n">
        <v>0.08723715865</v>
      </c>
      <c r="R91" s="20"/>
      <c r="S91" s="21"/>
      <c r="T91" s="22"/>
      <c r="U91" s="10" t="n">
        <f aca="false">O91*Q91</f>
        <v>0.26171147595</v>
      </c>
    </row>
    <row r="92" customFormat="false" ht="13.8" hidden="false" customHeight="false" outlineLevel="0" collapsed="false">
      <c r="A92" s="16" t="s">
        <v>125</v>
      </c>
      <c r="B92" s="17" t="n">
        <v>9</v>
      </c>
      <c r="C92" s="17" t="n">
        <v>9.5</v>
      </c>
      <c r="D92" s="17" t="n">
        <v>0</v>
      </c>
      <c r="E92" s="17" t="n">
        <v>520</v>
      </c>
      <c r="F92" s="17" t="n">
        <v>125</v>
      </c>
      <c r="G92" s="17" t="n">
        <v>0</v>
      </c>
      <c r="H92" s="17" t="n">
        <v>0</v>
      </c>
      <c r="I92" s="17" t="n">
        <v>0</v>
      </c>
      <c r="J92" s="17" t="n">
        <v>0</v>
      </c>
      <c r="K92" s="17" t="n">
        <v>0</v>
      </c>
      <c r="L92" s="17" t="n">
        <v>6</v>
      </c>
      <c r="M92" s="17" t="n">
        <v>311</v>
      </c>
      <c r="N92" s="17" t="n">
        <v>6</v>
      </c>
      <c r="O92" s="18" t="n">
        <v>5</v>
      </c>
      <c r="P92" s="23" t="n">
        <f aca="false">ROUND(O92/10, 2)</f>
        <v>0.5</v>
      </c>
      <c r="Q92" s="10" t="n">
        <v>0</v>
      </c>
      <c r="R92" s="20"/>
      <c r="S92" s="21"/>
      <c r="T92" s="22"/>
      <c r="U92" s="10" t="n">
        <f aca="false">O92*Q92</f>
        <v>0</v>
      </c>
    </row>
    <row r="93" customFormat="false" ht="13.8" hidden="false" customHeight="false" outlineLevel="0" collapsed="false">
      <c r="A93" s="16" t="s">
        <v>126</v>
      </c>
      <c r="B93" s="17" t="n">
        <v>17</v>
      </c>
      <c r="C93" s="17" t="n">
        <v>35</v>
      </c>
      <c r="D93" s="17" t="n">
        <v>0</v>
      </c>
      <c r="E93" s="17" t="n">
        <v>1650</v>
      </c>
      <c r="F93" s="17" t="n">
        <v>395</v>
      </c>
      <c r="G93" s="17" t="n">
        <v>0</v>
      </c>
      <c r="H93" s="17" t="n">
        <v>0.7</v>
      </c>
      <c r="I93" s="17" t="n">
        <v>0.19</v>
      </c>
      <c r="J93" s="17" t="n">
        <v>0</v>
      </c>
      <c r="K93" s="17" t="n">
        <v>0</v>
      </c>
      <c r="L93" s="17" t="n">
        <v>10</v>
      </c>
      <c r="M93" s="17" t="n">
        <v>110</v>
      </c>
      <c r="N93" s="17" t="n">
        <v>2.1</v>
      </c>
      <c r="O93" s="18" t="n">
        <v>4</v>
      </c>
      <c r="P93" s="23" t="n">
        <f aca="false">ROUND(O93/10, 2)</f>
        <v>0.4</v>
      </c>
      <c r="Q93" s="10" t="n">
        <v>0</v>
      </c>
      <c r="R93" s="20"/>
      <c r="S93" s="21"/>
      <c r="T93" s="22"/>
      <c r="U93" s="10" t="n">
        <f aca="false">O93*Q93</f>
        <v>0</v>
      </c>
    </row>
    <row r="94" customFormat="false" ht="13.8" hidden="false" customHeight="true" outlineLevel="0" collapsed="false">
      <c r="A94" s="16" t="s">
        <v>96</v>
      </c>
      <c r="B94" s="17" t="n">
        <v>3.3</v>
      </c>
      <c r="C94" s="17" t="n">
        <v>3.7</v>
      </c>
      <c r="D94" s="17" t="n">
        <v>4.7</v>
      </c>
      <c r="E94" s="17" t="n">
        <v>281</v>
      </c>
      <c r="F94" s="17" t="n">
        <v>67</v>
      </c>
      <c r="G94" s="17" t="n">
        <v>0.05</v>
      </c>
      <c r="H94" s="17" t="n">
        <v>0.05</v>
      </c>
      <c r="I94" s="17" t="n">
        <v>0.19</v>
      </c>
      <c r="J94" s="17" t="n">
        <v>0.1</v>
      </c>
      <c r="K94" s="17" t="n">
        <v>1</v>
      </c>
      <c r="L94" s="17" t="n">
        <v>120</v>
      </c>
      <c r="M94" s="17" t="n">
        <v>95</v>
      </c>
      <c r="N94" s="17" t="n">
        <v>0.1</v>
      </c>
      <c r="O94" s="18" t="n">
        <v>1.05</v>
      </c>
      <c r="P94" s="23" t="n">
        <f aca="false">ROUND(O94/10, 2)</f>
        <v>0.11</v>
      </c>
      <c r="Q94" s="10" t="n">
        <v>3.528852405</v>
      </c>
      <c r="R94" s="20" t="s">
        <v>158</v>
      </c>
      <c r="S94" s="21" t="n">
        <v>0.3</v>
      </c>
      <c r="T94" s="22" t="n">
        <f aca="false">SUM(Q94:Q107)</f>
        <v>3.528852405</v>
      </c>
      <c r="U94" s="10" t="n">
        <f aca="false">O94*Q94</f>
        <v>3.70529502525</v>
      </c>
    </row>
    <row r="95" customFormat="false" ht="13.8" hidden="false" customHeight="false" outlineLevel="0" collapsed="false">
      <c r="A95" s="16" t="s">
        <v>97</v>
      </c>
      <c r="B95" s="17" t="n">
        <v>3.5</v>
      </c>
      <c r="C95" s="17" t="n">
        <v>4</v>
      </c>
      <c r="D95" s="17" t="n">
        <v>4.5</v>
      </c>
      <c r="E95" s="17" t="n">
        <v>293</v>
      </c>
      <c r="F95" s="17" t="n">
        <v>70</v>
      </c>
      <c r="G95" s="17" t="n">
        <v>0.05</v>
      </c>
      <c r="H95" s="17" t="n">
        <v>0.04</v>
      </c>
      <c r="I95" s="17" t="n">
        <v>0.18</v>
      </c>
      <c r="J95" s="17" t="n">
        <v>0.3</v>
      </c>
      <c r="K95" s="17" t="n">
        <v>3</v>
      </c>
      <c r="L95" s="17" t="n">
        <v>147</v>
      </c>
      <c r="M95" s="17" t="n">
        <v>126</v>
      </c>
      <c r="N95" s="17" t="n">
        <v>0.1</v>
      </c>
      <c r="O95" s="18" t="n">
        <v>3.2</v>
      </c>
      <c r="P95" s="23" t="n">
        <f aca="false">ROUND(O95/10, 2)</f>
        <v>0.32</v>
      </c>
      <c r="Q95" s="10" t="n">
        <v>0</v>
      </c>
      <c r="R95" s="20"/>
      <c r="S95" s="21"/>
      <c r="T95" s="22"/>
      <c r="U95" s="10" t="n">
        <f aca="false">O95*Q95</f>
        <v>0</v>
      </c>
    </row>
    <row r="96" customFormat="false" ht="13.8" hidden="false" customHeight="false" outlineLevel="0" collapsed="false">
      <c r="A96" s="16" t="s">
        <v>98</v>
      </c>
      <c r="B96" s="17" t="n">
        <v>13.2</v>
      </c>
      <c r="C96" s="17" t="n">
        <v>20</v>
      </c>
      <c r="D96" s="17" t="n">
        <v>2.4</v>
      </c>
      <c r="E96" s="17" t="n">
        <v>1060</v>
      </c>
      <c r="F96" s="17" t="n">
        <v>253</v>
      </c>
      <c r="G96" s="17" t="n">
        <v>0</v>
      </c>
      <c r="H96" s="17" t="n">
        <v>0</v>
      </c>
      <c r="I96" s="17" t="n">
        <v>0.5</v>
      </c>
      <c r="J96" s="17" t="n">
        <v>0</v>
      </c>
      <c r="K96" s="17" t="n">
        <v>0</v>
      </c>
      <c r="L96" s="17" t="n">
        <v>140</v>
      </c>
      <c r="M96" s="17" t="n">
        <v>130</v>
      </c>
      <c r="N96" s="17" t="n">
        <v>0</v>
      </c>
      <c r="O96" s="18" t="n">
        <v>6</v>
      </c>
      <c r="P96" s="23" t="n">
        <f aca="false">ROUND(O96/10, 2)</f>
        <v>0.6</v>
      </c>
      <c r="Q96" s="10" t="n">
        <v>0</v>
      </c>
      <c r="R96" s="20"/>
      <c r="S96" s="21"/>
      <c r="T96" s="22"/>
      <c r="U96" s="10" t="n">
        <f aca="false">O96*Q96</f>
        <v>0</v>
      </c>
    </row>
    <row r="97" customFormat="false" ht="13.8" hidden="false" customHeight="false" outlineLevel="0" collapsed="false">
      <c r="A97" s="16" t="s">
        <v>99</v>
      </c>
      <c r="B97" s="17" t="n">
        <v>12</v>
      </c>
      <c r="C97" s="17" t="n">
        <v>8.5</v>
      </c>
      <c r="D97" s="17" t="n">
        <v>3.3</v>
      </c>
      <c r="E97" s="17" t="n">
        <v>423</v>
      </c>
      <c r="F97" s="17" t="n">
        <v>141</v>
      </c>
      <c r="G97" s="17" t="n">
        <v>0</v>
      </c>
      <c r="H97" s="17" t="n">
        <v>0</v>
      </c>
      <c r="I97" s="17" t="n">
        <v>0.5</v>
      </c>
      <c r="J97" s="17" t="n">
        <v>0</v>
      </c>
      <c r="K97" s="17" t="n">
        <v>0</v>
      </c>
      <c r="L97" s="17" t="n">
        <v>140</v>
      </c>
      <c r="M97" s="17" t="n">
        <v>130</v>
      </c>
      <c r="N97" s="17" t="n">
        <v>0</v>
      </c>
      <c r="O97" s="18" t="n">
        <v>5.5</v>
      </c>
      <c r="P97" s="23" t="n">
        <f aca="false">ROUND(O97/10, 2)</f>
        <v>0.55</v>
      </c>
      <c r="Q97" s="10" t="n">
        <v>0</v>
      </c>
      <c r="R97" s="20"/>
      <c r="S97" s="21"/>
      <c r="T97" s="22"/>
      <c r="U97" s="10" t="n">
        <f aca="false">O97*Q97</f>
        <v>0</v>
      </c>
    </row>
    <row r="98" customFormat="false" ht="13.8" hidden="false" customHeight="false" outlineLevel="0" collapsed="false">
      <c r="A98" s="16" t="s">
        <v>100</v>
      </c>
      <c r="B98" s="17" t="n">
        <v>13.6</v>
      </c>
      <c r="C98" s="17" t="n">
        <v>0.5</v>
      </c>
      <c r="D98" s="17" t="n">
        <v>3.5</v>
      </c>
      <c r="E98" s="17" t="n">
        <v>314</v>
      </c>
      <c r="F98" s="17" t="n">
        <v>75</v>
      </c>
      <c r="G98" s="17" t="n">
        <v>0</v>
      </c>
      <c r="H98" s="17" t="n">
        <v>0</v>
      </c>
      <c r="I98" s="17" t="n">
        <v>0.5</v>
      </c>
      <c r="J98" s="17" t="n">
        <v>0</v>
      </c>
      <c r="K98" s="17" t="n">
        <v>0</v>
      </c>
      <c r="L98" s="17" t="n">
        <v>164</v>
      </c>
      <c r="M98" s="17" t="n">
        <v>151</v>
      </c>
      <c r="N98" s="17" t="n">
        <v>0</v>
      </c>
      <c r="O98" s="18" t="n">
        <v>4</v>
      </c>
      <c r="P98" s="23" t="n">
        <f aca="false">ROUND(O98/10, 2)</f>
        <v>0.4</v>
      </c>
      <c r="Q98" s="10" t="n">
        <v>0</v>
      </c>
      <c r="R98" s="20"/>
      <c r="S98" s="21"/>
      <c r="T98" s="22"/>
      <c r="U98" s="10" t="n">
        <f aca="false">O98*Q98</f>
        <v>0</v>
      </c>
    </row>
    <row r="99" customFormat="false" ht="13.8" hidden="false" customHeight="false" outlineLevel="0" collapsed="false">
      <c r="A99" s="16" t="s">
        <v>101</v>
      </c>
      <c r="B99" s="17" t="n">
        <v>3.3</v>
      </c>
      <c r="C99" s="17" t="n">
        <v>3.7</v>
      </c>
      <c r="D99" s="17" t="n">
        <v>3.6</v>
      </c>
      <c r="E99" s="17" t="n">
        <v>281</v>
      </c>
      <c r="F99" s="17" t="n">
        <v>67</v>
      </c>
      <c r="G99" s="17" t="n">
        <v>0</v>
      </c>
      <c r="H99" s="17" t="n">
        <v>0</v>
      </c>
      <c r="I99" s="17" t="n">
        <v>0</v>
      </c>
      <c r="J99" s="17" t="n">
        <v>0</v>
      </c>
      <c r="K99" s="17" t="n">
        <v>0</v>
      </c>
      <c r="L99" s="17" t="n">
        <v>120</v>
      </c>
      <c r="M99" s="17" t="n">
        <v>95</v>
      </c>
      <c r="N99" s="17" t="n">
        <v>0.1</v>
      </c>
      <c r="O99" s="18" t="n">
        <v>1.3</v>
      </c>
      <c r="P99" s="23" t="n">
        <f aca="false">ROUND(O99/10, 2)</f>
        <v>0.13</v>
      </c>
      <c r="Q99" s="10" t="n">
        <v>0</v>
      </c>
      <c r="R99" s="20"/>
      <c r="S99" s="21"/>
      <c r="T99" s="22"/>
      <c r="U99" s="10" t="n">
        <f aca="false">O99*Q99</f>
        <v>0</v>
      </c>
    </row>
    <row r="100" customFormat="false" ht="13.8" hidden="false" customHeight="false" outlineLevel="0" collapsed="false">
      <c r="A100" s="16" t="s">
        <v>102</v>
      </c>
      <c r="B100" s="17" t="n">
        <v>2</v>
      </c>
      <c r="C100" s="17" t="n">
        <v>32.9</v>
      </c>
      <c r="D100" s="17" t="n">
        <v>3</v>
      </c>
      <c r="E100" s="17" t="n">
        <v>1360</v>
      </c>
      <c r="F100" s="17" t="n">
        <v>326</v>
      </c>
      <c r="G100" s="17" t="n">
        <v>0.3</v>
      </c>
      <c r="H100" s="17" t="n">
        <v>0.05</v>
      </c>
      <c r="I100" s="17" t="n">
        <v>0</v>
      </c>
      <c r="J100" s="17" t="n">
        <v>0</v>
      </c>
      <c r="K100" s="17" t="n">
        <v>0</v>
      </c>
      <c r="L100" s="17" t="n">
        <v>52</v>
      </c>
      <c r="M100" s="17" t="n">
        <v>55</v>
      </c>
      <c r="N100" s="17" t="n">
        <v>0.1</v>
      </c>
      <c r="O100" s="18" t="n">
        <v>6.5</v>
      </c>
      <c r="P100" s="23" t="n">
        <f aca="false">ROUND(O100/10, 2)</f>
        <v>0.65</v>
      </c>
      <c r="Q100" s="10" t="n">
        <v>0</v>
      </c>
      <c r="R100" s="20"/>
      <c r="S100" s="21"/>
      <c r="T100" s="22"/>
      <c r="U100" s="10" t="n">
        <f aca="false">O100*Q100</f>
        <v>0</v>
      </c>
    </row>
    <row r="101" customFormat="false" ht="13.8" hidden="false" customHeight="false" outlineLevel="0" collapsed="false">
      <c r="A101" s="16" t="s">
        <v>103</v>
      </c>
      <c r="B101" s="17" t="n">
        <v>2.5</v>
      </c>
      <c r="C101" s="17" t="n">
        <v>30</v>
      </c>
      <c r="D101" s="17" t="n">
        <v>2.5</v>
      </c>
      <c r="E101" s="17" t="n">
        <v>1264</v>
      </c>
      <c r="F101" s="17" t="n">
        <v>302</v>
      </c>
      <c r="G101" s="17" t="n">
        <v>0.3</v>
      </c>
      <c r="H101" s="17" t="n">
        <v>0.05</v>
      </c>
      <c r="I101" s="17" t="n">
        <v>0</v>
      </c>
      <c r="J101" s="17" t="n">
        <v>0</v>
      </c>
      <c r="K101" s="17" t="n">
        <v>0</v>
      </c>
      <c r="L101" s="17" t="n">
        <v>86</v>
      </c>
      <c r="M101" s="17" t="n">
        <v>68</v>
      </c>
      <c r="N101" s="17" t="n">
        <v>0.1</v>
      </c>
      <c r="O101" s="18" t="n">
        <v>3.5</v>
      </c>
      <c r="P101" s="23" t="n">
        <f aca="false">ROUND(O101/10, 2)</f>
        <v>0.35</v>
      </c>
      <c r="Q101" s="10" t="n">
        <v>0</v>
      </c>
      <c r="R101" s="20"/>
      <c r="S101" s="21"/>
      <c r="T101" s="22"/>
      <c r="U101" s="10" t="n">
        <f aca="false">O101*Q101</f>
        <v>0</v>
      </c>
    </row>
    <row r="102" customFormat="false" ht="13.8" hidden="false" customHeight="false" outlineLevel="0" collapsed="false">
      <c r="A102" s="16" t="s">
        <v>104</v>
      </c>
      <c r="B102" s="17" t="n">
        <v>3.4</v>
      </c>
      <c r="C102" s="17" t="n">
        <v>9.4</v>
      </c>
      <c r="D102" s="17" t="n">
        <v>18.5</v>
      </c>
      <c r="E102" s="17" t="n">
        <v>741</v>
      </c>
      <c r="F102" s="17" t="n">
        <v>177</v>
      </c>
      <c r="G102" s="17" t="n">
        <v>0</v>
      </c>
      <c r="H102" s="17" t="n">
        <v>0</v>
      </c>
      <c r="I102" s="17" t="n">
        <v>0</v>
      </c>
      <c r="J102" s="17" t="n">
        <v>0</v>
      </c>
      <c r="K102" s="17" t="n">
        <v>0</v>
      </c>
      <c r="L102" s="17" t="n">
        <v>137</v>
      </c>
      <c r="M102" s="17" t="n">
        <v>82</v>
      </c>
      <c r="N102" s="17" t="n">
        <v>0.1</v>
      </c>
      <c r="O102" s="18" t="n">
        <v>10</v>
      </c>
      <c r="P102" s="23" t="n">
        <f aca="false">ROUND(O102/10, 2)</f>
        <v>1</v>
      </c>
      <c r="Q102" s="10" t="n">
        <v>0</v>
      </c>
      <c r="R102" s="20"/>
      <c r="S102" s="21"/>
      <c r="T102" s="22"/>
      <c r="U102" s="10" t="n">
        <f aca="false">O102*Q102</f>
        <v>0</v>
      </c>
    </row>
    <row r="103" customFormat="false" ht="13.8" hidden="false" customHeight="false" outlineLevel="0" collapsed="false">
      <c r="A103" s="16" t="s">
        <v>105</v>
      </c>
      <c r="B103" s="17" t="n">
        <v>3.3</v>
      </c>
      <c r="C103" s="17" t="n">
        <v>3.7</v>
      </c>
      <c r="D103" s="17" t="n">
        <v>3.9</v>
      </c>
      <c r="E103" s="17" t="n">
        <v>281</v>
      </c>
      <c r="F103" s="17" t="n">
        <v>67</v>
      </c>
      <c r="G103" s="17" t="n">
        <v>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120</v>
      </c>
      <c r="M103" s="17" t="n">
        <v>95</v>
      </c>
      <c r="N103" s="17" t="n">
        <v>0.1</v>
      </c>
      <c r="O103" s="18" t="n">
        <v>3</v>
      </c>
      <c r="P103" s="23" t="n">
        <f aca="false">ROUND(O103/10, 2)</f>
        <v>0.3</v>
      </c>
      <c r="Q103" s="10" t="n">
        <v>0</v>
      </c>
      <c r="R103" s="20"/>
      <c r="S103" s="21"/>
      <c r="T103" s="22"/>
      <c r="U103" s="10" t="n">
        <f aca="false">O103*Q103</f>
        <v>0</v>
      </c>
    </row>
    <row r="104" customFormat="false" ht="13.8" hidden="false" customHeight="false" outlineLevel="0" collapsed="false">
      <c r="A104" s="16" t="s">
        <v>106</v>
      </c>
      <c r="B104" s="17" t="n">
        <v>21</v>
      </c>
      <c r="C104" s="17" t="n">
        <v>23.9</v>
      </c>
      <c r="D104" s="17" t="n">
        <v>1.9</v>
      </c>
      <c r="E104" s="17" t="n">
        <v>1320</v>
      </c>
      <c r="F104" s="17" t="n">
        <v>316</v>
      </c>
      <c r="G104" s="17" t="n">
        <v>0.18</v>
      </c>
      <c r="H104" s="17" t="n">
        <v>0.15</v>
      </c>
      <c r="I104" s="17" t="n">
        <v>0.51</v>
      </c>
      <c r="J104" s="17" t="n">
        <v>0</v>
      </c>
      <c r="K104" s="17" t="n">
        <v>0</v>
      </c>
      <c r="L104" s="17" t="n">
        <v>808</v>
      </c>
      <c r="M104" s="17" t="n">
        <v>457</v>
      </c>
      <c r="N104" s="17" t="n">
        <v>0</v>
      </c>
      <c r="O104" s="18" t="n">
        <v>12.5</v>
      </c>
      <c r="P104" s="23" t="n">
        <f aca="false">ROUND(O104/10, 2)</f>
        <v>1.25</v>
      </c>
      <c r="Q104" s="10" t="n">
        <v>0</v>
      </c>
      <c r="R104" s="20"/>
      <c r="S104" s="21"/>
      <c r="T104" s="22"/>
      <c r="U104" s="10" t="n">
        <f aca="false">O104*Q104</f>
        <v>0</v>
      </c>
    </row>
    <row r="105" customFormat="false" ht="13.8" hidden="false" customHeight="false" outlineLevel="0" collapsed="false">
      <c r="A105" s="16" t="s">
        <v>107</v>
      </c>
      <c r="B105" s="17" t="n">
        <v>18.7</v>
      </c>
      <c r="C105" s="17" t="n">
        <v>17.1</v>
      </c>
      <c r="D105" s="17" t="n">
        <v>1.8</v>
      </c>
      <c r="E105" s="17" t="n">
        <v>1020</v>
      </c>
      <c r="F105" s="17" t="n">
        <v>243</v>
      </c>
      <c r="G105" s="17" t="n">
        <v>0</v>
      </c>
      <c r="H105" s="17" t="n">
        <v>0</v>
      </c>
      <c r="I105" s="17" t="n">
        <v>0</v>
      </c>
      <c r="J105" s="17" t="n">
        <v>0</v>
      </c>
      <c r="K105" s="17" t="n">
        <v>0</v>
      </c>
      <c r="L105" s="17" t="n">
        <v>601</v>
      </c>
      <c r="M105" s="17" t="n">
        <v>381</v>
      </c>
      <c r="N105" s="17" t="n">
        <v>0</v>
      </c>
      <c r="O105" s="18" t="n">
        <v>9.5</v>
      </c>
      <c r="P105" s="23" t="n">
        <f aca="false">ROUND(O105/10, 2)</f>
        <v>0.95</v>
      </c>
      <c r="Q105" s="10" t="n">
        <v>0</v>
      </c>
      <c r="R105" s="20"/>
      <c r="S105" s="21"/>
      <c r="T105" s="22"/>
      <c r="U105" s="10" t="n">
        <f aca="false">O105*Q105</f>
        <v>0</v>
      </c>
    </row>
    <row r="106" customFormat="false" ht="13.8" hidden="false" customHeight="false" outlineLevel="0" collapsed="false">
      <c r="A106" s="16" t="s">
        <v>108</v>
      </c>
      <c r="B106" s="17" t="n">
        <v>0.5</v>
      </c>
      <c r="C106" s="17" t="n">
        <v>83.5</v>
      </c>
      <c r="D106" s="17" t="n">
        <v>0.5</v>
      </c>
      <c r="E106" s="17" t="n">
        <v>3270</v>
      </c>
      <c r="F106" s="17" t="n">
        <v>781</v>
      </c>
      <c r="G106" s="17" t="n">
        <v>0.6</v>
      </c>
      <c r="H106" s="17" t="n">
        <v>0</v>
      </c>
      <c r="I106" s="17" t="n">
        <v>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8" t="n">
        <v>8</v>
      </c>
      <c r="P106" s="23" t="n">
        <f aca="false">ROUND(O106/10, 2)</f>
        <v>0.8</v>
      </c>
      <c r="Q106" s="10" t="n">
        <v>0</v>
      </c>
      <c r="R106" s="20"/>
      <c r="S106" s="21"/>
      <c r="T106" s="22"/>
      <c r="U106" s="10" t="n">
        <f aca="false">O106*Q106</f>
        <v>0</v>
      </c>
    </row>
    <row r="107" customFormat="false" ht="13.8" hidden="false" customHeight="false" outlineLevel="0" collapsed="false">
      <c r="A107" s="16" t="s">
        <v>109</v>
      </c>
      <c r="B107" s="17" t="n">
        <v>0</v>
      </c>
      <c r="C107" s="17" t="n">
        <v>99.5</v>
      </c>
      <c r="D107" s="17" t="n">
        <v>0</v>
      </c>
      <c r="E107" s="17" t="n">
        <v>3990</v>
      </c>
      <c r="F107" s="17" t="n">
        <v>925</v>
      </c>
      <c r="G107" s="17" t="n">
        <v>0.6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8" t="n">
        <v>30</v>
      </c>
      <c r="P107" s="23" t="n">
        <f aca="false">ROUND(O107/10, 2)</f>
        <v>3</v>
      </c>
      <c r="Q107" s="10" t="n">
        <v>0</v>
      </c>
      <c r="R107" s="20"/>
      <c r="S107" s="21"/>
      <c r="T107" s="22"/>
      <c r="U107" s="10" t="n">
        <f aca="false">O107*Q107</f>
        <v>0</v>
      </c>
    </row>
    <row r="108" customFormat="false" ht="13.8" hidden="false" customHeight="true" outlineLevel="0" collapsed="false">
      <c r="A108" s="16" t="s">
        <v>127</v>
      </c>
      <c r="B108" s="17" t="n">
        <v>45</v>
      </c>
      <c r="C108" s="17" t="n">
        <v>4.8</v>
      </c>
      <c r="D108" s="17" t="n">
        <v>0.2</v>
      </c>
      <c r="E108" s="17" t="n">
        <v>266</v>
      </c>
      <c r="F108" s="17" t="n">
        <v>63.5</v>
      </c>
      <c r="G108" s="17" t="n">
        <v>0.3</v>
      </c>
      <c r="H108" s="17" t="n">
        <v>0.07</v>
      </c>
      <c r="I108" s="17" t="n">
        <v>0.345</v>
      </c>
      <c r="J108" s="17" t="n">
        <v>0.1</v>
      </c>
      <c r="K108" s="17" t="n">
        <v>0</v>
      </c>
      <c r="L108" s="17" t="n">
        <v>20</v>
      </c>
      <c r="M108" s="17" t="n">
        <v>92</v>
      </c>
      <c r="N108" s="17" t="n">
        <v>1.1</v>
      </c>
      <c r="O108" s="18" t="n">
        <v>3.5</v>
      </c>
      <c r="P108" s="23" t="n">
        <f aca="false">ROUND(O108/10, 2)</f>
        <v>0.35</v>
      </c>
      <c r="Q108" s="10" t="n">
        <v>0.05</v>
      </c>
      <c r="R108" s="20" t="s">
        <v>159</v>
      </c>
      <c r="S108" s="21" t="n">
        <v>0.05</v>
      </c>
      <c r="T108" s="22" t="n">
        <f aca="false">SUM(Q108:Q109)</f>
        <v>0.05</v>
      </c>
      <c r="U108" s="10" t="n">
        <f aca="false">O108*Q108</f>
        <v>0.175</v>
      </c>
    </row>
    <row r="109" customFormat="false" ht="13.8" hidden="false" customHeight="false" outlineLevel="0" collapsed="false">
      <c r="A109" s="16" t="s">
        <v>128</v>
      </c>
      <c r="B109" s="17" t="n">
        <v>44</v>
      </c>
      <c r="C109" s="17" t="n">
        <v>42.2</v>
      </c>
      <c r="D109" s="17" t="n">
        <v>1.8</v>
      </c>
      <c r="E109" s="17" t="n">
        <v>2420</v>
      </c>
      <c r="F109" s="17" t="n">
        <v>579</v>
      </c>
      <c r="G109" s="17" t="n">
        <v>1.34</v>
      </c>
      <c r="H109" s="17" t="n">
        <v>0.35</v>
      </c>
      <c r="I109" s="17" t="n">
        <v>1.23</v>
      </c>
      <c r="J109" s="17" t="n">
        <v>0.2</v>
      </c>
      <c r="K109" s="17" t="n">
        <v>0</v>
      </c>
      <c r="L109" s="17" t="n">
        <v>186</v>
      </c>
      <c r="M109" s="17" t="n">
        <v>786</v>
      </c>
      <c r="N109" s="17" t="n">
        <v>9.3</v>
      </c>
      <c r="O109" s="18" t="n">
        <v>22</v>
      </c>
      <c r="P109" s="23" t="n">
        <f aca="false">ROUND(O109/10, 2)</f>
        <v>2.2</v>
      </c>
      <c r="Q109" s="10" t="n">
        <v>0</v>
      </c>
      <c r="R109" s="20"/>
      <c r="S109" s="21"/>
      <c r="T109" s="22"/>
      <c r="U109" s="10" t="n">
        <f aca="false">O109*Q109</f>
        <v>0</v>
      </c>
    </row>
    <row r="110" customFormat="false" ht="13.8" hidden="false" customHeight="true" outlineLevel="0" collapsed="false">
      <c r="A110" s="16" t="s">
        <v>129</v>
      </c>
      <c r="B110" s="17" t="n">
        <v>16</v>
      </c>
      <c r="C110" s="17" t="n">
        <v>3.6</v>
      </c>
      <c r="D110" s="17" t="n">
        <v>0</v>
      </c>
      <c r="E110" s="17" t="n">
        <v>414</v>
      </c>
      <c r="F110" s="17" t="n">
        <v>99</v>
      </c>
      <c r="G110" s="17" t="n">
        <v>0.03</v>
      </c>
      <c r="H110" s="17" t="n">
        <v>0.08</v>
      </c>
      <c r="I110" s="17" t="n">
        <v>0.21</v>
      </c>
      <c r="J110" s="17" t="n">
        <v>2.7</v>
      </c>
      <c r="K110" s="17" t="n">
        <v>0</v>
      </c>
      <c r="L110" s="17" t="n">
        <v>17</v>
      </c>
      <c r="M110" s="17" t="n">
        <v>184</v>
      </c>
      <c r="N110" s="17" t="n">
        <v>0.9</v>
      </c>
      <c r="O110" s="18" t="n">
        <v>8.5</v>
      </c>
      <c r="P110" s="23" t="n">
        <f aca="false">ROUND(O110/10, 2)</f>
        <v>0.85</v>
      </c>
      <c r="Q110" s="10" t="n">
        <v>0</v>
      </c>
      <c r="R110" s="20" t="s">
        <v>160</v>
      </c>
      <c r="S110" s="21" t="n">
        <v>0.4</v>
      </c>
      <c r="T110" s="22" t="n">
        <f aca="false">SUM(Q110:Q118)</f>
        <v>0.4</v>
      </c>
      <c r="U110" s="10" t="n">
        <f aca="false">O110*Q110</f>
        <v>0</v>
      </c>
    </row>
    <row r="111" customFormat="false" ht="13.8" hidden="false" customHeight="false" outlineLevel="0" collapsed="false">
      <c r="A111" s="16" t="s">
        <v>130</v>
      </c>
      <c r="B111" s="17" t="n">
        <v>18.8</v>
      </c>
      <c r="C111" s="17" t="n">
        <v>0.7</v>
      </c>
      <c r="D111" s="17" t="n">
        <v>0</v>
      </c>
      <c r="E111" s="17" t="n">
        <v>352</v>
      </c>
      <c r="F111" s="17" t="n">
        <v>84</v>
      </c>
      <c r="G111" s="17" t="n">
        <v>0</v>
      </c>
      <c r="H111" s="17" t="n">
        <v>0.06</v>
      </c>
      <c r="I111" s="17" t="n">
        <v>0.08</v>
      </c>
      <c r="J111" s="17" t="n">
        <v>2.2</v>
      </c>
      <c r="K111" s="17" t="n">
        <v>0</v>
      </c>
      <c r="L111" s="17" t="n">
        <v>50</v>
      </c>
      <c r="M111" s="17" t="n">
        <v>207</v>
      </c>
      <c r="N111" s="17" t="n">
        <v>0.8</v>
      </c>
      <c r="O111" s="18" t="n">
        <v>7.8</v>
      </c>
      <c r="P111" s="23" t="n">
        <f aca="false">ROUND(O111/10, 2)</f>
        <v>0.78</v>
      </c>
      <c r="Q111" s="10" t="n">
        <v>0</v>
      </c>
      <c r="R111" s="20"/>
      <c r="S111" s="21"/>
      <c r="T111" s="22"/>
      <c r="U111" s="10" t="n">
        <f aca="false">O111*Q111</f>
        <v>0</v>
      </c>
    </row>
    <row r="112" customFormat="false" ht="13.8" hidden="false" customHeight="false" outlineLevel="0" collapsed="false">
      <c r="A112" s="16" t="s">
        <v>131</v>
      </c>
      <c r="B112" s="17" t="n">
        <v>17.6</v>
      </c>
      <c r="C112" s="17" t="n">
        <v>0.4</v>
      </c>
      <c r="D112" s="17" t="n">
        <v>0</v>
      </c>
      <c r="E112" s="17" t="n">
        <v>318</v>
      </c>
      <c r="F112" s="17" t="n">
        <v>76</v>
      </c>
      <c r="G112" s="17" t="n">
        <v>0</v>
      </c>
      <c r="H112" s="17" t="n">
        <v>0.08</v>
      </c>
      <c r="I112" s="17" t="n">
        <v>0.1</v>
      </c>
      <c r="J112" s="17" t="n">
        <v>1.5</v>
      </c>
      <c r="K112" s="17" t="n">
        <v>0</v>
      </c>
      <c r="L112" s="17" t="n">
        <v>57</v>
      </c>
      <c r="M112" s="17" t="n">
        <v>222</v>
      </c>
      <c r="N112" s="17" t="n">
        <v>0.7</v>
      </c>
      <c r="O112" s="18" t="n">
        <v>9.5</v>
      </c>
      <c r="P112" s="23" t="n">
        <f aca="false">ROUND(O112/10, 2)</f>
        <v>0.95</v>
      </c>
      <c r="Q112" s="10" t="n">
        <v>0</v>
      </c>
      <c r="R112" s="20"/>
      <c r="S112" s="21"/>
      <c r="T112" s="22"/>
      <c r="U112" s="10" t="n">
        <f aca="false">O112*Q112</f>
        <v>0</v>
      </c>
    </row>
    <row r="113" customFormat="false" ht="13.8" hidden="false" customHeight="false" outlineLevel="0" collapsed="false">
      <c r="A113" s="16" t="s">
        <v>132</v>
      </c>
      <c r="B113" s="17" t="n">
        <v>19</v>
      </c>
      <c r="C113" s="17" t="n">
        <v>0.8</v>
      </c>
      <c r="D113" s="17" t="n">
        <v>0</v>
      </c>
      <c r="E113" s="17" t="n">
        <v>356</v>
      </c>
      <c r="F113" s="17" t="n">
        <v>85</v>
      </c>
      <c r="G113" s="17" t="n">
        <v>0</v>
      </c>
      <c r="H113" s="17" t="n">
        <v>0.4</v>
      </c>
      <c r="I113" s="17" t="n">
        <v>0.11</v>
      </c>
      <c r="J113" s="17" t="n">
        <v>0</v>
      </c>
      <c r="K113" s="17" t="n">
        <v>0</v>
      </c>
      <c r="L113" s="17" t="n">
        <v>27</v>
      </c>
      <c r="M113" s="17" t="n">
        <v>219</v>
      </c>
      <c r="N113" s="17" t="n">
        <v>1</v>
      </c>
      <c r="O113" s="18" t="n">
        <v>14.5</v>
      </c>
      <c r="P113" s="23" t="n">
        <f aca="false">ROUND(O113/10, 2)</f>
        <v>1.45</v>
      </c>
      <c r="Q113" s="10" t="n">
        <v>0</v>
      </c>
      <c r="R113" s="20"/>
      <c r="S113" s="21"/>
      <c r="T113" s="22"/>
      <c r="U113" s="10" t="n">
        <f aca="false">O113*Q113</f>
        <v>0</v>
      </c>
    </row>
    <row r="114" customFormat="false" ht="13.8" hidden="false" customHeight="false" outlineLevel="0" collapsed="false">
      <c r="A114" s="16" t="s">
        <v>133</v>
      </c>
      <c r="B114" s="17" t="n">
        <v>31.6</v>
      </c>
      <c r="C114" s="17" t="n">
        <v>13.8</v>
      </c>
      <c r="D114" s="17" t="n">
        <v>0</v>
      </c>
      <c r="E114" s="17" t="n">
        <v>1080</v>
      </c>
      <c r="F114" s="17" t="n">
        <v>258</v>
      </c>
      <c r="G114" s="17" t="n">
        <v>0.45</v>
      </c>
      <c r="H114" s="17" t="n">
        <v>0</v>
      </c>
      <c r="I114" s="17" t="n">
        <v>0</v>
      </c>
      <c r="J114" s="17" t="n">
        <v>0</v>
      </c>
      <c r="K114" s="17" t="n">
        <v>0</v>
      </c>
      <c r="L114" s="17" t="n">
        <v>90</v>
      </c>
      <c r="M114" s="17" t="n">
        <v>490</v>
      </c>
      <c r="N114" s="17" t="n">
        <v>1.8</v>
      </c>
      <c r="O114" s="18" t="n">
        <v>85</v>
      </c>
      <c r="P114" s="23" t="n">
        <f aca="false">ROUND(O114/10, 2)</f>
        <v>8.5</v>
      </c>
      <c r="Q114" s="10" t="n">
        <v>0</v>
      </c>
      <c r="R114" s="20"/>
      <c r="S114" s="21"/>
      <c r="T114" s="22"/>
      <c r="U114" s="10" t="n">
        <f aca="false">O114*Q114</f>
        <v>0</v>
      </c>
    </row>
    <row r="115" customFormat="false" ht="13.8" hidden="false" customHeight="false" outlineLevel="0" collapsed="false">
      <c r="A115" s="16" t="s">
        <v>134</v>
      </c>
      <c r="B115" s="17" t="n">
        <v>6.3</v>
      </c>
      <c r="C115" s="17" t="n">
        <v>4.2</v>
      </c>
      <c r="D115" s="17" t="n">
        <v>0</v>
      </c>
      <c r="E115" s="17" t="n">
        <v>272</v>
      </c>
      <c r="F115" s="17" t="n">
        <v>65</v>
      </c>
      <c r="G115" s="17" t="n">
        <v>0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133</v>
      </c>
      <c r="M115" s="17" t="n">
        <v>124</v>
      </c>
      <c r="N115" s="17" t="n">
        <v>0</v>
      </c>
      <c r="O115" s="18" t="n">
        <v>4.5</v>
      </c>
      <c r="P115" s="23" t="n">
        <f aca="false">ROUND(O115/10, 2)</f>
        <v>0.45</v>
      </c>
      <c r="Q115" s="10" t="n">
        <v>0.4</v>
      </c>
      <c r="R115" s="20"/>
      <c r="S115" s="21"/>
      <c r="T115" s="22"/>
      <c r="U115" s="10" t="n">
        <f aca="false">O115*Q115</f>
        <v>1.8</v>
      </c>
    </row>
    <row r="116" customFormat="false" ht="13.8" hidden="false" customHeight="false" outlineLevel="0" collapsed="false">
      <c r="A116" s="16" t="s">
        <v>135</v>
      </c>
      <c r="B116" s="17" t="n">
        <v>12.4</v>
      </c>
      <c r="C116" s="17" t="n">
        <v>13.5</v>
      </c>
      <c r="D116" s="17" t="n">
        <v>0</v>
      </c>
      <c r="E116" s="17" t="n">
        <v>737</v>
      </c>
      <c r="F116" s="17" t="n">
        <v>176</v>
      </c>
      <c r="G116" s="17" t="n">
        <v>0</v>
      </c>
      <c r="H116" s="17" t="n">
        <v>0</v>
      </c>
      <c r="I116" s="17" t="n">
        <v>0</v>
      </c>
      <c r="J116" s="17" t="n">
        <v>0</v>
      </c>
      <c r="K116" s="17" t="n">
        <v>0</v>
      </c>
      <c r="L116" s="17" t="n">
        <v>16</v>
      </c>
      <c r="M116" s="17" t="n">
        <v>169</v>
      </c>
      <c r="N116" s="17" t="n">
        <v>0.8</v>
      </c>
      <c r="O116" s="18" t="n">
        <v>32</v>
      </c>
      <c r="P116" s="23" t="n">
        <f aca="false">ROUND(O116/10, 2)</f>
        <v>3.2</v>
      </c>
      <c r="Q116" s="10" t="n">
        <v>0</v>
      </c>
      <c r="R116" s="20"/>
      <c r="S116" s="21"/>
      <c r="T116" s="22"/>
      <c r="U116" s="10" t="n">
        <f aca="false">O116*Q116</f>
        <v>0</v>
      </c>
    </row>
    <row r="117" customFormat="false" ht="13.8" hidden="false" customHeight="false" outlineLevel="0" collapsed="false">
      <c r="A117" s="16" t="s">
        <v>136</v>
      </c>
      <c r="B117" s="17" t="n">
        <v>19</v>
      </c>
      <c r="C117" s="17" t="n">
        <v>6.2</v>
      </c>
      <c r="D117" s="17" t="n">
        <v>0</v>
      </c>
      <c r="E117" s="17" t="n">
        <v>565</v>
      </c>
      <c r="F117" s="17" t="n">
        <v>135</v>
      </c>
      <c r="G117" s="17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119</v>
      </c>
      <c r="M117" s="17" t="n">
        <v>179</v>
      </c>
      <c r="N117" s="17" t="n">
        <v>3.1</v>
      </c>
      <c r="O117" s="18" t="n">
        <v>5.5</v>
      </c>
      <c r="P117" s="23" t="n">
        <f aca="false">ROUND(O117/10, 2)</f>
        <v>0.55</v>
      </c>
      <c r="Q117" s="10" t="n">
        <v>0</v>
      </c>
      <c r="R117" s="20"/>
      <c r="S117" s="21"/>
      <c r="T117" s="22"/>
      <c r="U117" s="10" t="n">
        <f aca="false">O117*Q117</f>
        <v>0</v>
      </c>
    </row>
    <row r="118" customFormat="false" ht="13.8" hidden="false" customHeight="false" outlineLevel="0" collapsed="false">
      <c r="A118" s="16" t="s">
        <v>137</v>
      </c>
      <c r="B118" s="17" t="n">
        <v>14.7</v>
      </c>
      <c r="C118" s="17" t="n">
        <v>30.4</v>
      </c>
      <c r="D118" s="17" t="n">
        <v>0.4</v>
      </c>
      <c r="E118" s="17" t="n">
        <v>1440</v>
      </c>
      <c r="F118" s="17" t="n">
        <v>345</v>
      </c>
      <c r="G118" s="17" t="n">
        <v>0</v>
      </c>
      <c r="H118" s="17" t="n">
        <v>0</v>
      </c>
      <c r="I118" s="17" t="n">
        <v>0.12</v>
      </c>
      <c r="J118" s="17" t="n">
        <v>1</v>
      </c>
      <c r="K118" s="17" t="n">
        <v>0</v>
      </c>
      <c r="L118" s="17" t="n">
        <v>297</v>
      </c>
      <c r="M118" s="17" t="n">
        <v>348</v>
      </c>
      <c r="N118" s="17" t="n">
        <v>0</v>
      </c>
      <c r="O118" s="18" t="n">
        <v>10.5</v>
      </c>
      <c r="P118" s="23" t="n">
        <f aca="false">ROUND(O118/10, 2)</f>
        <v>1.05</v>
      </c>
      <c r="Q118" s="10" t="n">
        <v>0</v>
      </c>
      <c r="R118" s="20"/>
      <c r="S118" s="21"/>
      <c r="T118" s="22"/>
      <c r="U118" s="10" t="n">
        <f aca="false">O118*Q118</f>
        <v>0</v>
      </c>
    </row>
    <row r="119" customFormat="false" ht="13.8" hidden="false" customHeight="false" outlineLevel="0" collapsed="false">
      <c r="A119" s="24" t="s">
        <v>138</v>
      </c>
      <c r="B119" s="25" t="n">
        <v>96</v>
      </c>
      <c r="C119" s="25" t="n">
        <v>90</v>
      </c>
      <c r="D119" s="25" t="n">
        <v>383</v>
      </c>
      <c r="E119" s="25" t="n">
        <f aca="false">F119*4.184</f>
        <v>10041.6</v>
      </c>
      <c r="F119" s="25" t="n">
        <v>2400</v>
      </c>
      <c r="G119" s="25" t="s">
        <v>139</v>
      </c>
      <c r="H119" s="25" t="s">
        <v>139</v>
      </c>
      <c r="I119" s="25" t="s">
        <v>140</v>
      </c>
      <c r="J119" s="25" t="s">
        <v>141</v>
      </c>
      <c r="K119" s="25" t="s">
        <v>142</v>
      </c>
      <c r="L119" s="25" t="s">
        <v>143</v>
      </c>
      <c r="M119" s="25" t="n">
        <v>1000</v>
      </c>
      <c r="N119" s="26" t="s">
        <v>141</v>
      </c>
      <c r="O119" s="27" t="n">
        <f aca="false">ROUND(SUM(U3:U118), 2)</f>
        <v>14.21</v>
      </c>
      <c r="P119" s="27"/>
      <c r="Q119" s="27"/>
      <c r="R119" s="27"/>
      <c r="S119" s="27"/>
      <c r="T119" s="27"/>
      <c r="U119" s="27"/>
    </row>
    <row r="120" customFormat="false" ht="13.8" hidden="false" customHeight="false" outlineLevel="0" collapsed="false">
      <c r="A120" s="14" t="s">
        <v>144</v>
      </c>
      <c r="B120" s="10" t="n">
        <f aca="false">ROUND(B3*$Q$3+B4*$Q$4+B5*$Q$5+B6*$Q$6+B7*$Q$7+B8*$Q$8+B9*$Q$9+B10*$Q$10+B11*$Q$11+B12*$Q$12+B13*$Q$13+B14*$Q$14+B15*$Q$15+B16*$Q$16+B17*$Q$17+B18*$Q$18+B19*$Q$19+B20*$Q$20+B21*$Q$21+B22*$Q$22+B23*$Q$23+B24*$Q$24+B25*$Q$25+B26*$Q$26+B27*$Q$27+B28*$Q$28+B29*$Q$29+B30*$Q$30+B31*$Q$31+B32*$Q$32+B33*$Q$33+B34*$Q$34+B35*$Q$35+B36*$Q$36+B37*$Q$37+B38*$Q$38+B39*$Q$39+B40*$Q$40+B41*$Q$41+B42*$Q$42+B43*$Q$43+B44*$Q$44+B45*$Q$45+B46*$Q$46+B47*$Q$47+B48*$Q$48+B49*$Q$49+B50*$Q$50+B51*$Q$51+B52*$Q$52+B53*$Q$53+B54*$Q$54+B55*$Q$55+B56*$Q$56+B57*$Q$57+B58*$Q$58+B59*$Q$59+B60*$Q$60+B61*$Q$61+B62*$Q$62+B63*$Q$63+B64*$Q$64+B65*$Q$65+B66*$Q$66+B67*$Q$67+B68*$Q$68+B69*$Q$69+B70*$Q$70+B71*$Q$71+B72*$Q$72+B73*$Q$73+B74*$Q$74+B75*$Q$75+B76*$Q$76+B77*$Q$77+B78*$Q$78+B79*$Q$79+B80*$Q$80+B81*$Q$81+B82*$Q$82+B83*$Q$83+B84*$Q$84+B85*$Q$85+B86*$Q$86+B87*$Q$87+B88*$Q$88+B89*$Q$89+B90*$Q$90+B91*$Q$91+B92*$Q$92+B93*$Q$93+B94*$Q$94+B95*$Q$95+B96*$Q$96+B97*$Q$97+B98*$Q$98+B99*$Q$99+B100*$Q$100+B101*$Q$101+B102*$Q$102+B103*$Q$103+B104*$Q$104+B105*$Q$105+B106*$Q$106+B107*$Q$107+B108*$Q$108+B109*$Q$109+B110*$Q$110+B111*$Q$111+B112*$Q$112+B113*$Q$113+B114*$Q$114+B115*$Q$115+B116*$Q$116+B117*$Q$117+B118*$Q$118, 2)</f>
        <v>96</v>
      </c>
      <c r="C120" s="10" t="n">
        <f aca="false">ROUND(C3*$Q$3+C4*$Q$4+C5*$Q$5+C6*$Q$6+C7*$Q$7+C8*$Q$8+C9*$Q$9+C10*$Q$10+C11*$Q$11+C12*$Q$12+C13*$Q$13+C14*$Q$14+C15*$Q$15+C16*$Q$16+C17*$Q$17+C18*$Q$18+C19*$Q$19+C20*$Q$20+C21*$Q$21+C22*$Q$22+C23*$Q$23+C24*$Q$24+C25*$Q$25+C26*$Q$26+C27*$Q$27+C28*$Q$28+C29*$Q$29+C30*$Q$30+C31*$Q$31+C32*$Q$32+C33*$Q$33+C34*$Q$34+C35*$Q$35+C36*$Q$36+C37*$Q$37+C38*$Q$38+C39*$Q$39+C40*$Q$40+C41*$Q$41+C42*$Q$42+C43*$Q$43+C44*$Q$44+C45*$Q$45+C46*$Q$46+C47*$Q$47+C48*$Q$48+C49*$Q$49+C50*$Q$50+C51*$Q$51+C52*$Q$52+C53*$Q$53+C54*$Q$54+C55*$Q$55+C56*$Q$56+C57*$Q$57+C58*$Q$58+C59*$Q$59+C60*$Q$60+C61*$Q$61+C62*$Q$62+C63*$Q$63+C64*$Q$64+C65*$Q$65+C66*$Q$66+C67*$Q$67+C68*$Q$68+C69*$Q$69+C70*$Q$70+C71*$Q$71+C72*$Q$72+C73*$Q$73+C74*$Q$74+C75*$Q$75+C76*$Q$76+C77*$Q$77+C78*$Q$78+C79*$Q$79+C80*$Q$80+C81*$Q$81+C82*$Q$82+C83*$Q$83+C84*$Q$84+C85*$Q$85+C86*$Q$86+C87*$Q$87+C88*$Q$88+C89*$Q$89+C90*$Q$90+C91*$Q$91+C92*$Q$92+C93*$Q$93+C94*$Q$94+C95*$Q$95+C96*$Q$96+C97*$Q$97+C98*$Q$98+C99*$Q$99+C100*$Q$100+C101*$Q$101+C102*$Q$102+C103*$Q$103+C104*$Q$104+C105*$Q$105+C106*$Q$106+C107*$Q$107+C108*$Q$108+C109*$Q$109+C110*$Q$110+C111*$Q$111+C112*$Q$112+C113*$Q$113+C114*$Q$114+C115*$Q$115+C116*$Q$116+C117*$Q$117+C118*$Q$118, 2)</f>
        <v>90</v>
      </c>
      <c r="D120" s="10" t="n">
        <f aca="false">ROUND(D3*$Q$3+D4*$Q$4+D5*$Q$5+D6*$Q$6+D7*$Q$7+D8*$Q$8+D9*$Q$9+D10*$Q$10+D11*$Q$11+D12*$Q$12+D13*$Q$13+D14*$Q$14+D15*$Q$15+D16*$Q$16+D17*$Q$17+D18*$Q$18+D19*$Q$19+D20*$Q$20+D21*$Q$21+D22*$Q$22+D23*$Q$23+D24*$Q$24+D25*$Q$25+D26*$Q$26+D27*$Q$27+D28*$Q$28+D29*$Q$29+D30*$Q$30+D31*$Q$31+D32*$Q$32+D33*$Q$33+D34*$Q$34+D35*$Q$35+D36*$Q$36+D37*$Q$37+D38*$Q$38+D39*$Q$39+D40*$Q$40+D41*$Q$41+D42*$Q$42+D43*$Q$43+D44*$Q$44+D45*$Q$45+D46*$Q$46+D47*$Q$47+D48*$Q$48+D49*$Q$49+D50*$Q$50+D51*$Q$51+D52*$Q$52+D53*$Q$53+D54*$Q$54+D55*$Q$55+D56*$Q$56+D57*$Q$57+D58*$Q$58+D59*$Q$59+D60*$Q$60+D61*$Q$61+D62*$Q$62+D63*$Q$63+D64*$Q$64+D65*$Q$65+D66*$Q$66+D67*$Q$67+D68*$Q$68+D69*$Q$69+D70*$Q$70+D71*$Q$71+D72*$Q$72+D73*$Q$73+D74*$Q$74+D75*$Q$75+D76*$Q$76+D77*$Q$77+D78*$Q$78+D79*$Q$79+D80*$Q$80+D81*$Q$81+D82*$Q$82+D83*$Q$83+D84*$Q$84+D85*$Q$85+D86*$Q$86+D87*$Q$87+D88*$Q$88+D89*$Q$89+D90*$Q$90+D91*$Q$91+D92*$Q$92+D93*$Q$93+D94*$Q$94+D95*$Q$95+D96*$Q$96+D97*$Q$97+D98*$Q$98+D99*$Q$99+D100*$Q$100+D101*$Q$101+D102*$Q$102+D103*$Q$103+D104*$Q$104+D105*$Q$105+D106*$Q$106+D107*$Q$107+D108*$Q$108+D109*$Q$109+D110*$Q$110+D111*$Q$111+D112*$Q$112+D113*$Q$113+D114*$Q$114+D115*$Q$115+D116*$Q$116+D117*$Q$117+D118*$Q$118, 2)</f>
        <v>383</v>
      </c>
      <c r="E120" s="10"/>
      <c r="F120" s="10" t="n">
        <f aca="false">ROUND(F3*$Q$3+F4*$Q$4+F5*$Q$5+F6*$Q$6+F7*$Q$7+F8*$Q$8+F9*$Q$9+F10*$Q$10+F11*$Q$11+F12*$Q$12+F13*$Q$13+F14*$Q$14+F15*$Q$15+F16*$Q$16+F17*$Q$17+F18*$Q$18+F19*$Q$19+F20*$Q$20+F21*$Q$21+F22*$Q$22+F23*$Q$23+F24*$Q$24+F25*$Q$25+F26*$Q$26+F27*$Q$27+F28*$Q$28+F29*$Q$29+F30*$Q$30+F31*$Q$31+F32*$Q$32+F33*$Q$33+F34*$Q$34+F35*$Q$35+F36*$Q$36+F37*$Q$37+F38*$Q$38+F39*$Q$39+F40*$Q$40+F41*$Q$41+F42*$Q$42+F43*$Q$43+F44*$Q$44+F45*$Q$45+F46*$Q$46+F47*$Q$47+F48*$Q$48+F49*$Q$49+F50*$Q$50+F51*$Q$51+F52*$Q$52+F53*$Q$53+F54*$Q$54+F55*$Q$55+F56*$Q$56+F57*$Q$57+F58*$Q$58+F59*$Q$59+F60*$Q$60+F61*$Q$61+F62*$Q$62+F63*$Q$63+F64*$Q$64+F65*$Q$65+F66*$Q$66+F67*$Q$67+F68*$Q$68+F69*$Q$69+F70*$Q$70+F71*$Q$71+F72*$Q$72+F73*$Q$73+F74*$Q$74+F75*$Q$75+F76*$Q$76+F77*$Q$77+F78*$Q$78+F79*$Q$79+F80*$Q$80+F81*$Q$81+F82*$Q$82+F83*$Q$83+F84*$Q$84+F85*$Q$85+F86*$Q$86+F87*$Q$87+F88*$Q$88+F89*$Q$89+F90*$Q$90+F91*$Q$91+F92*$Q$92+F93*$Q$93+F94*$Q$94+F95*$Q$95+F96*$Q$96+F97*$Q$97+F98*$Q$98+F99*$Q$99+F100*$Q$100+F101*$Q$101+F102*$Q$102+F103*$Q$103+F104*$Q$104+F105*$Q$105+F106*$Q$106+F107*$Q$107+F108*$Q$108+F109*$Q$109+F110*$Q$110+F111*$Q$111+F112*$Q$112+F113*$Q$113+F114*$Q$114+F115*$Q$115+F116*$Q$116+F117*$Q$117+F118*$Q$118, 2)</f>
        <v>2796.59</v>
      </c>
      <c r="G120" s="10" t="n">
        <f aca="false">ROUND(G77*$Q$77+G78*$Q$78+G79*$Q$79+G80*$Q$80+G81*$Q$81+G82*$Q$82+G83*$Q$83+G84*$Q$84+G85*$Q$85+G86*$Q$86+G87*$Q$87+G88*$Q$88+G89*$Q$89+G90*$Q$90+G91*$Q$91+G92*$Q$92+G93*$Q$93+G94*$Q$94+G95*$Q$95+G96*$Q$96+G97*$Q$97+G98*$Q$98+G99*$Q$99+G100*$Q$100+G101*$Q$101+G102*$Q$102+G103*$Q$103+G104*$Q$104+G105*$Q$105+G106*$Q$106+G107*$Q$107+G108*$Q$108+G109*$Q$109+G110*$Q$110+G111*$Q$111+G112*$Q$112+G113*$Q$113+G114*$Q$114, 2)</f>
        <v>1.5</v>
      </c>
      <c r="H120" s="10" t="n">
        <f aca="false">ROUND(H3*$Q$3+H4*$Q$4+H5*$Q$5+H6*$Q$6+H7*$Q$7+H8*$Q$8+H9*$Q$9+H10*$Q$10+H11*$Q$11+H12*$Q$12+H13*$Q$13+H14*$Q$14+H15*$Q$15+H16*$Q$16+H17*$Q$17+H18*$Q$18+H19*$Q$19+H20*$Q$20+H21*$Q$21+H22*$Q$22+H23*$Q$23+H24*$Q$24+H25*$Q$25+H26*$Q$26+H27*$Q$27+H28*$Q$28+H29*$Q$29+H30*$Q$30+H31*$Q$31+H32*$Q$32+H33*$Q$33+H34*$Q$34+H35*$Q$35+H36*$Q$36+H37*$Q$37+H38*$Q$38+H39*$Q$39+H40*$Q$40+H41*$Q$41+H42*$Q$42+H43*$Q$43+H44*$Q$44+H45*$Q$45+H46*$Q$46+H47*$Q$47+H48*$Q$48+H49*$Q$49+H50*$Q$50+H51*$Q$51+H52*$Q$52+H53*$Q$53+H54*$Q$54+H55*$Q$55+H56*$Q$56+H57*$Q$57+H58*$Q$58+H59*$Q$59+H60*$Q$60+H61*$Q$61+H62*$Q$62+H63*$Q$63+H64*$Q$64+H65*$Q$65+H66*$Q$66+H67*$Q$67+H68*$Q$68+H69*$Q$69+H70*$Q$70+H71*$Q$71+H72*$Q$72+H73*$Q$73+H74*$Q$74+H75*$Q$75+H76*$Q$76+H77*$Q$77+H78*$Q$78+H79*$Q$79+H80*$Q$80+H81*$Q$81+H82*$Q$82+H83*$Q$83+H84*$Q$84+H85*$Q$85+H86*$Q$86+H87*$Q$87+H88*$Q$88+H89*$Q$89+H90*$Q$90+H91*$Q$91+H92*$Q$92+H93*$Q$93+H94*$Q$94+H95*$Q$95+H96*$Q$96+H97*$Q$97+H98*$Q$98+H99*$Q$99+H100*$Q$100+H101*$Q$101+H102*$Q$102+H103*$Q$103+H104*$Q$104+H105*$Q$105+H106*$Q$106+H107*$Q$107+H108*$Q$108+H109*$Q$109+H110*$Q$110+H111*$Q$111+H112*$Q$112+H113*$Q$113+H114*$Q$114+H115*$Q$115+H116*$Q$116+H117*$Q$117+H118*$Q$118, 2)</f>
        <v>3.18</v>
      </c>
      <c r="I120" s="10" t="n">
        <f aca="false">ROUND(I3*$Q$3+I4*$Q$4+I5*$Q$5+I6*$Q$6+I7*$Q$7+I8*$Q$8+I9*$Q$9+I10*$Q$10+I11*$Q$11+I12*$Q$12+I13*$Q$13+I14*$Q$14+I15*$Q$15+I16*$Q$16+I17*$Q$17+I18*$Q$18+I19*$Q$19+I20*$Q$20+I21*$Q$21+I22*$Q$22+I23*$Q$23+I24*$Q$24+I25*$Q$25+I26*$Q$26+I27*$Q$27+I28*$Q$28+I29*$Q$29+I30*$Q$30+I31*$Q$31+I32*$Q$32+I33*$Q$33+I34*$Q$34+I35*$Q$35+I36*$Q$36+I37*$Q$37+I38*$Q$38+I39*$Q$39+I40*$Q$40+I41*$Q$41+I42*$Q$42+I43*$Q$43+I44*$Q$44+I45*$Q$45+I46*$Q$46+I47*$Q$47+I48*$Q$48+I49*$Q$49+I50*$Q$50+I51*$Q$51+I52*$Q$52+I53*$Q$53+I54*$Q$54+I55*$Q$55+I56*$Q$56+I57*$Q$57+I58*$Q$58+I59*$Q$59+I60*$Q$60+I61*$Q$61+I62*$Q$62+I63*$Q$63+I64*$Q$64+I65*$Q$65+I66*$Q$66+I67*$Q$67+I68*$Q$68+I69*$Q$69+I70*$Q$70+I71*$Q$71+I72*$Q$72+I73*$Q$73+I74*$Q$74+I75*$Q$75+I76*$Q$76+I77*$Q$77+I78*$Q$78+I79*$Q$79+I80*$Q$80+I81*$Q$81+I82*$Q$82+I83*$Q$83+I84*$Q$84+I85*$Q$85+I86*$Q$86+I87*$Q$87+I88*$Q$88+I89*$Q$89+I90*$Q$90+I91*$Q$91+I92*$Q$92+I93*$Q$93+I94*$Q$94+I95*$Q$95+I96*$Q$96+I97*$Q$97+I98*$Q$98+I99*$Q$99+I100*$Q$100+I101*$Q$101+I102*$Q$102+I103*$Q$103+I104*$Q$104+I105*$Q$105+I106*$Q$106+I107*$Q$107+I108*$Q$108+I109*$Q$109+I110*$Q$110+I111*$Q$111+I112*$Q$112+I113*$Q$113+I114*$Q$114+I115*$Q$115+I116*$Q$116+I117*$Q$117+I118*$Q$118, 2)</f>
        <v>2</v>
      </c>
      <c r="J120" s="10" t="n">
        <f aca="false">ROUND(J3*$Q$3+J4*$Q$4+J5*$Q$5+J6*$Q$6+J7*$Q$7+J8*$Q$8+J9*$Q$9+J10*$Q$10+J11*$Q$11+J12*$Q$12+J13*$Q$13+J14*$Q$14+J15*$Q$15+J16*$Q$16+J17*$Q$17+J18*$Q$18+J19*$Q$19+J20*$Q$20+J21*$Q$21+J22*$Q$22+J23*$Q$23+J24*$Q$24+J25*$Q$25+J26*$Q$26+J27*$Q$27+J28*$Q$28+J29*$Q$29+J30*$Q$30+J31*$Q$31+J32*$Q$32+J33*$Q$33+J34*$Q$34+J35*$Q$35+J36*$Q$36+J37*$Q$37+J38*$Q$38+J39*$Q$39+J40*$Q$40+J41*$Q$41+J42*$Q$42+J43*$Q$43+J44*$Q$44+J45*$Q$45+J46*$Q$46+J47*$Q$47+J48*$Q$48+J49*$Q$49+J50*$Q$50+J51*$Q$51+J52*$Q$52+J53*$Q$53+J54*$Q$54+J55*$Q$55+J56*$Q$56+J57*$Q$57+J58*$Q$58+J59*$Q$59+J60*$Q$60+J61*$Q$61+J62*$Q$62+J63*$Q$63+J64*$Q$64+J65*$Q$65+J66*$Q$66+J67*$Q$67+J68*$Q$68+J69*$Q$69+J70*$Q$70+J71*$Q$71+J72*$Q$72+J73*$Q$73+J74*$Q$74+J75*$Q$75+J76*$Q$76+J77*$Q$77+J78*$Q$78+J79*$Q$79+J80*$Q$80+J81*$Q$81+J82*$Q$82+J83*$Q$83+J84*$Q$84+J85*$Q$85+J86*$Q$86+J87*$Q$87+J88*$Q$88+J89*$Q$89+J90*$Q$90+J91*$Q$91+J92*$Q$92+J93*$Q$93+J94*$Q$94+J95*$Q$95+J96*$Q$96+J97*$Q$97+J98*$Q$98+J99*$Q$99+J100*$Q$100+J101*$Q$101+J102*$Q$102+J103*$Q$103+J104*$Q$104+J105*$Q$105+J106*$Q$106+J107*$Q$107+J108*$Q$108+J109*$Q$109+J110*$Q$110+J111*$Q$111+J112*$Q$112+J113*$Q$113+J114*$Q$114+J115*$Q$115+J116*$Q$116+J117*$Q$117+J118*$Q$118, 2)</f>
        <v>15</v>
      </c>
      <c r="K120" s="10" t="n">
        <f aca="false">ROUND(K3*$Q$3+K4*$Q$4+K5*$Q$5+K6*$Q$6+K7*$Q$7+K8*$Q$8+K9*$Q$9+K10*$Q$10+K11*$Q$11+K12*$Q$12+K13*$Q$13+K14*$Q$14+K15*$Q$15+K16*$Q$16+K17*$Q$17+K18*$Q$18+K19*$Q$19+K20*$Q$20+K21*$Q$21+K22*$Q$22+K23*$Q$23+K24*$Q$24+K25*$Q$25+K26*$Q$26+K27*$Q$27+K28*$Q$28+K29*$Q$29+K30*$Q$30+K31*$Q$31+K32*$Q$32+K33*$Q$33+K34*$Q$34+K35*$Q$35+K36*$Q$36+K37*$Q$37+K38*$Q$38+K39*$Q$39+K40*$Q$40+K41*$Q$41+K42*$Q$42+K43*$Q$43+K44*$Q$44+K45*$Q$45+K46*$Q$46+K47*$Q$47+K48*$Q$48+K49*$Q$49+K50*$Q$50+K51*$Q$51+K52*$Q$52+K53*$Q$53+K54*$Q$54+K55*$Q$55+K56*$Q$56+K57*$Q$57+K58*$Q$58+K59*$Q$59+K60*$Q$60+K61*$Q$61+K62*$Q$62+K63*$Q$63+K64*$Q$64+K65*$Q$65+K66*$Q$66+K67*$Q$67+K68*$Q$68+K69*$Q$69+K70*$Q$70+K71*$Q$71+K72*$Q$72+K73*$Q$73+K74*$Q$74+K75*$Q$75+K76*$Q$76+K77*$Q$77+K78*$Q$78+K79*$Q$79+K80*$Q$80+K81*$Q$81+K82*$Q$82+K83*$Q$83+K84*$Q$84+K85*$Q$85+K86*$Q$86+K87*$Q$87+K88*$Q$88+K89*$Q$89+K90*$Q$90+K91*$Q$91+K92*$Q$92+K93*$Q$93+K94*$Q$94+K95*$Q$95+K96*$Q$96+K97*$Q$97+K98*$Q$98+K99*$Q$99+K100*$Q$100+K101*$Q$101+K102*$Q$102+K103*$Q$103+K104*$Q$104+K105*$Q$105+K106*$Q$106+K107*$Q$107+K108*$Q$108+K109*$Q$109+K110*$Q$110+K111*$Q$111+K112*$Q$112+K113*$Q$113+K114*$Q$114+K115*$Q$115+K116*$Q$116+K117*$Q$117+K118*$Q$118, 2)</f>
        <v>50</v>
      </c>
      <c r="L120" s="10" t="n">
        <f aca="false">ROUND(L3*$Q$3+L4*$Q$4+L5*$Q$5+L6*$Q$6+L7*$Q$7+L8*$Q$8+L9*$Q$9+L10*$Q$10+L11*$Q$11+L12*$Q$12+L13*$Q$13+L14*$Q$14+L15*$Q$15+L16*$Q$16+L17*$Q$17+L18*$Q$18+L19*$Q$19+L20*$Q$20+L21*$Q$21+L22*$Q$22+L23*$Q$23+L24*$Q$24+L25*$Q$25+L26*$Q$26+L27*$Q$27+L28*$Q$28+L29*$Q$29+L30*$Q$30+L31*$Q$31+L32*$Q$32+L33*$Q$33+L34*$Q$34+L35*$Q$35+L36*$Q$36+L37*$Q$37+L38*$Q$38+L39*$Q$39+L40*$Q$40+L41*$Q$41+L42*$Q$42+L43*$Q$43+L44*$Q$44+L45*$Q$45+L46*$Q$46+L47*$Q$47+L48*$Q$48+L49*$Q$49+L50*$Q$50+L51*$Q$51+L52*$Q$52+L53*$Q$53+L54*$Q$54+L55*$Q$55+L56*$Q$56+L57*$Q$57+L58*$Q$58+L59*$Q$59+L60*$Q$60+L61*$Q$61+L62*$Q$62+L63*$Q$63+L64*$Q$64+L65*$Q$65+L66*$Q$66+L67*$Q$67+L68*$Q$68+L69*$Q$69+L70*$Q$70+L71*$Q$71+L72*$Q$72+L73*$Q$73+L74*$Q$74+L75*$Q$75+L76*$Q$76+L77*$Q$77+L78*$Q$78+L79*$Q$79+L80*$Q$80+L81*$Q$81+L82*$Q$82+L83*$Q$83+L84*$Q$84+L85*$Q$85+L86*$Q$86+L87*$Q$87+L88*$Q$88+L89*$Q$89+L90*$Q$90+L91*$Q$91+L92*$Q$92+L93*$Q$93+L94*$Q$94+L95*$Q$95+L96*$Q$96+L97*$Q$97+L98*$Q$98+L99*$Q$99+L100*$Q$100+L101*$Q$101+L102*$Q$102+L103*$Q$103+L104*$Q$104+L105*$Q$105+L106*$Q$106+L107*$Q$107+L108*$Q$108+L109*$Q$109+L110*$Q$110+L111*$Q$111+L112*$Q$112+L113*$Q$113+L114*$Q$114+L115*$Q$115+L116*$Q$116+L117*$Q$117+L118*$Q$118, 2)</f>
        <v>800</v>
      </c>
      <c r="M120" s="10" t="n">
        <f aca="false">ROUND(M3*$Q$3+M4*$Q$4+M5*$Q$5+M6*$Q$6+M7*$Q$7+M8*$Q$8+M9*$Q$9+M10*$Q$10+M11*$Q$11+M12*$Q$12+M13*$Q$13+M14*$Q$14+M15*$Q$15+M16*$Q$16+M17*$Q$17+M18*$Q$18+M19*$Q$19+M20*$Q$20+M21*$Q$21+M22*$Q$22+M23*$Q$23+M24*$Q$24+M25*$Q$25+M26*$Q$26+M27*$Q$27+M28*$Q$28+M29*$Q$29+M30*$Q$30+M31*$Q$31+M32*$Q$32+M33*$Q$33+M34*$Q$34+M35*$Q$35+M36*$Q$36+M37*$Q$37+M38*$Q$38+M39*$Q$39+M40*$Q$40+M41*$Q$41+M42*$Q$42+M43*$Q$43+M44*$Q$44+M45*$Q$45+M46*$Q$46+M47*$Q$47+M48*$Q$48+M49*$Q$49+M50*$Q$50+M51*$Q$51+M52*$Q$52+M53*$Q$53+M54*$Q$54+M55*$Q$55+M56*$Q$56+M57*$Q$57+M58*$Q$58+M59*$Q$59+M60*$Q$60+M61*$Q$61+M62*$Q$62+M63*$Q$63+M64*$Q$64+M65*$Q$65+M66*$Q$66+M67*$Q$67+M68*$Q$68+M69*$Q$69+M70*$Q$70+M71*$Q$71+M72*$Q$72+M73*$Q$73+M74*$Q$74+M75*$Q$75+M76*$Q$76+M77*$Q$77+M78*$Q$78+M79*$Q$79+M80*$Q$80+M81*$Q$81+M82*$Q$82+M83*$Q$83+M84*$Q$84+M85*$Q$85+M86*$Q$86+M87*$Q$87+M88*$Q$88+M89*$Q$89+M90*$Q$90+M91*$Q$91+M92*$Q$92+M93*$Q$93+M94*$Q$94+M95*$Q$95+M96*$Q$96+M97*$Q$97+M98*$Q$98+M99*$Q$99+M100*$Q$100+M101*$Q$101+M102*$Q$102+M103*$Q$103+M104*$Q$104+M105*$Q$105+M106*$Q$106+M107*$Q$107+M108*$Q$108+M109*$Q$109+M110*$Q$110+M111*$Q$111+M112*$Q$112+M113*$Q$113+M114*$Q$114+M115*$Q$115+M116*$Q$116+M117*$Q$117+M118*$Q$118, 2)</f>
        <v>2009.31</v>
      </c>
      <c r="N120" s="10" t="n">
        <f aca="false">ROUND(N3*$Q$3+N4*$Q$4+N5*$Q$5+N6*$Q$6+N7*$Q$7+N8*$Q$8+N9*$Q$9+N10*$Q$10+N11*$Q$11+N12*$Q$12+N13*$Q$13+N14*$Q$14+N15*$Q$15+N16*$Q$16+N17*$Q$17+N18*$Q$18+N19*$Q$19+N20*$Q$20+N21*$Q$21+N22*$Q$22+N23*$Q$23+N24*$Q$24+N25*$Q$25+N26*$Q$26+N27*$Q$27+N28*$Q$28+N29*$Q$29+N30*$Q$30+N31*$Q$31+N32*$Q$32+N33*$Q$33+N34*$Q$34+N35*$Q$35+N36*$Q$36+N37*$Q$37+N38*$Q$38+N39*$Q$39+N40*$Q$40+N41*$Q$41+N42*$Q$42+N43*$Q$43+N44*$Q$44+N45*$Q$45+N46*$Q$46+N47*$Q$47+N48*$Q$48+N49*$Q$49+N50*$Q$50+N51*$Q$51+N52*$Q$52+N53*$Q$53+N54*$Q$54+N55*$Q$55+N56*$Q$56+N57*$Q$57+N58*$Q$58+N59*$Q$59+N60*$Q$60+N61*$Q$61+N62*$Q$62+N63*$Q$63+N64*$Q$64+N65*$Q$65+N66*$Q$66+N67*$Q$67+N68*$Q$68+N69*$Q$69+N70*$Q$70+N71*$Q$71+N72*$Q$72+N73*$Q$73+N74*$Q$74+N75*$Q$75+N76*$Q$76+N77*$Q$77+N78*$Q$78+N79*$Q$79+N80*$Q$80+N81*$Q$81+N82*$Q$82+N83*$Q$83+N84*$Q$84+N85*$Q$85+N86*$Q$86+N87*$Q$87+N88*$Q$88+N89*$Q$89+N90*$Q$90+N91*$Q$91+N92*$Q$92+N93*$Q$93+N94*$Q$94+N95*$Q$95+N96*$Q$96+N97*$Q$97+N98*$Q$98+N99*$Q$99+N100*$Q$100+N101*$Q$101+N102*$Q$102+N103*$Q$103+N104*$Q$104+N105*$Q$105+N106*$Q$106+N107*$Q$107+N108*$Q$108+N109*$Q$109+N110*$Q$110+N111*$Q$111+N112*$Q$112+N113*$Q$113+N114*$Q$114+N115*$Q$115+N116*$Q$116+N117*$Q$117+N118*$Q$118, 2)</f>
        <v>19.19</v>
      </c>
      <c r="O120" s="27"/>
      <c r="P120" s="27"/>
      <c r="Q120" s="27"/>
      <c r="R120" s="27"/>
      <c r="S120" s="27"/>
      <c r="T120" s="27"/>
      <c r="U120" s="27"/>
    </row>
  </sheetData>
  <mergeCells count="52">
    <mergeCell ref="A1:A2"/>
    <mergeCell ref="B1:D1"/>
    <mergeCell ref="E1:F1"/>
    <mergeCell ref="G1:K1"/>
    <mergeCell ref="L1:N1"/>
    <mergeCell ref="O1:O2"/>
    <mergeCell ref="P1:P2"/>
    <mergeCell ref="Q1:Q2"/>
    <mergeCell ref="R1:R2"/>
    <mergeCell ref="S1:S2"/>
    <mergeCell ref="T1:T2"/>
    <mergeCell ref="U1:U2"/>
    <mergeCell ref="R3:R8"/>
    <mergeCell ref="S3:S8"/>
    <mergeCell ref="T3:T8"/>
    <mergeCell ref="R9:R14"/>
    <mergeCell ref="S9:S14"/>
    <mergeCell ref="T9:T14"/>
    <mergeCell ref="R15:R36"/>
    <mergeCell ref="S15:S36"/>
    <mergeCell ref="T15:T36"/>
    <mergeCell ref="R37:R39"/>
    <mergeCell ref="S37:S39"/>
    <mergeCell ref="T37:T39"/>
    <mergeCell ref="R40:R44"/>
    <mergeCell ref="S40:S44"/>
    <mergeCell ref="T40:T44"/>
    <mergeCell ref="R45:R57"/>
    <mergeCell ref="S45:S57"/>
    <mergeCell ref="T45:T57"/>
    <mergeCell ref="R58:R61"/>
    <mergeCell ref="S58:S61"/>
    <mergeCell ref="T58:T61"/>
    <mergeCell ref="R62:R70"/>
    <mergeCell ref="S62:S70"/>
    <mergeCell ref="T62:T70"/>
    <mergeCell ref="R71:R72"/>
    <mergeCell ref="S71:S72"/>
    <mergeCell ref="T71:T72"/>
    <mergeCell ref="R73:R93"/>
    <mergeCell ref="S73:S93"/>
    <mergeCell ref="T73:T93"/>
    <mergeCell ref="R94:R107"/>
    <mergeCell ref="S94:S107"/>
    <mergeCell ref="T94:T107"/>
    <mergeCell ref="R108:R109"/>
    <mergeCell ref="S108:S109"/>
    <mergeCell ref="T108:T109"/>
    <mergeCell ref="R110:R118"/>
    <mergeCell ref="S110:S118"/>
    <mergeCell ref="T110:T118"/>
    <mergeCell ref="O119:U1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2018-02-19T11:18:51Z</dcterms:created>
  <dc:creator>Vineta Minkeviča</dc:creator>
  <dc:description/>
  <dc:language>lv-LV</dc:language>
  <cp:lastModifiedBy/>
  <dcterms:modified xsi:type="dcterms:W3CDTF">2026-03-14T12:46:10Z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